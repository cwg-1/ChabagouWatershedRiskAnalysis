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Basic information" sheetId="7" r:id="rId1"/>
    <sheet name="FT-IWHR parameters" sheetId="8" r:id="rId2"/>
  </sheets>
  <definedNames>
    <definedName name="_xlnm._FilterDatabase" localSheetId="0" hidden="1">'Basic information'!$A$3:$O$102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134" description="与工作簿中“134”查询的连接。" type="5" background="1" refreshedVersion="2" saveData="1">
    <dbPr connection="Provider=Microsoft.Mashup.OleDb.1;Data Source=$Workbook$;Location=134;Extended Properties=&quot;&quot;" command="SELECT * FROM [134]" commandType="2"/>
  </connection>
  <connection id="2" name="查询 - 345" description="与工作簿中“345”查询的连接。" type="5" background="1" refreshedVersion="2" saveData="1">
    <dbPr connection="Provider=Microsoft.Mashup.OleDb.1;Data Source=$Workbook$;Location=345;Extended Properties=&quot;&quot;" command="SELECT * FROM [345]" commandType="2"/>
  </connection>
  <connection id="3" name="查询 - Export_Output1" description="与工作簿中“Export_Output1”查询的连接。" type="5" background="1" refreshedVersion="2" saveData="1">
    <dbPr connection="Provider=Microsoft.Mashup.OleDb.1;Data Source=$Workbook$;Location=Export_Output1;Extended Properties=&quot;&quot;" command="SELECT * FROM [Export_Output1]" commandType="2"/>
  </connection>
  <connection id="4" name="查询 - Export_Output2" description="与工作簿中“Export_Output2”查询的连接。" type="5" background="1" refreshedVersion="2" saveData="1">
    <dbPr connection="Provider=Microsoft.Mashup.OleDb.1;Data Source=$Workbook$;Location=Export_Output2;Extended Properties=&quot;&quot;" command="SELECT * FROM [Export_Output2]" commandType="2"/>
  </connection>
</connections>
</file>

<file path=xl/sharedStrings.xml><?xml version="1.0" encoding="utf-8"?>
<sst xmlns="http://schemas.openxmlformats.org/spreadsheetml/2006/main" count="1231" uniqueCount="417">
  <si>
    <t>岔巴沟流域淤地坝基本信息统计</t>
  </si>
  <si>
    <r>
      <rPr>
        <b/>
        <sz val="12"/>
        <rFont val="宋体"/>
        <charset val="134"/>
      </rPr>
      <t>序号</t>
    </r>
  </si>
  <si>
    <r>
      <rPr>
        <b/>
        <sz val="12"/>
        <rFont val="宋体"/>
        <charset val="134"/>
      </rPr>
      <t>淤地坝所在县（市区）</t>
    </r>
  </si>
  <si>
    <r>
      <rPr>
        <b/>
        <sz val="12"/>
        <rFont val="宋体"/>
        <charset val="134"/>
      </rPr>
      <t>淤地坝所在乡镇（街道）</t>
    </r>
  </si>
  <si>
    <r>
      <rPr>
        <b/>
        <sz val="12"/>
        <rFont val="宋体"/>
        <charset val="134"/>
      </rPr>
      <t>淤地坝所在村</t>
    </r>
  </si>
  <si>
    <r>
      <rPr>
        <b/>
        <sz val="12"/>
        <rFont val="宋体"/>
        <charset val="134"/>
      </rPr>
      <t>淤地坝名称</t>
    </r>
  </si>
  <si>
    <r>
      <rPr>
        <b/>
        <sz val="12"/>
        <rFont val="宋体"/>
        <charset val="134"/>
      </rPr>
      <t>工程规模</t>
    </r>
  </si>
  <si>
    <r>
      <rPr>
        <b/>
        <sz val="12"/>
        <rFont val="宋体"/>
        <charset val="134"/>
      </rPr>
      <t>枢纽组成</t>
    </r>
  </si>
  <si>
    <r>
      <rPr>
        <b/>
        <sz val="12"/>
        <rFont val="宋体"/>
        <charset val="134"/>
      </rPr>
      <t>经度</t>
    </r>
  </si>
  <si>
    <r>
      <rPr>
        <b/>
        <sz val="12"/>
        <rFont val="宋体"/>
        <charset val="134"/>
      </rPr>
      <t>纬度</t>
    </r>
  </si>
  <si>
    <r>
      <rPr>
        <b/>
        <sz val="12"/>
        <rFont val="宋体"/>
        <charset val="134"/>
      </rPr>
      <t>坝顶高程</t>
    </r>
    <r>
      <rPr>
        <b/>
        <sz val="12"/>
        <rFont val="Times New Roman"/>
        <charset val="134"/>
      </rPr>
      <t>/m</t>
    </r>
  </si>
  <si>
    <r>
      <rPr>
        <b/>
        <sz val="12"/>
        <rFont val="宋体"/>
        <charset val="134"/>
      </rPr>
      <t>坝高</t>
    </r>
    <r>
      <rPr>
        <b/>
        <sz val="12"/>
        <rFont val="Times New Roman"/>
        <charset val="134"/>
      </rPr>
      <t>/m</t>
    </r>
  </si>
  <si>
    <r>
      <rPr>
        <b/>
        <sz val="12"/>
        <rFont val="Times New Roman"/>
        <charset val="134"/>
      </rPr>
      <t>1/2</t>
    </r>
    <r>
      <rPr>
        <b/>
        <sz val="12"/>
        <rFont val="宋体"/>
        <charset val="134"/>
      </rPr>
      <t>坝高程/</t>
    </r>
    <r>
      <rPr>
        <b/>
        <sz val="12"/>
        <rFont val="Times New Roman"/>
        <charset val="134"/>
      </rPr>
      <t>m</t>
    </r>
  </si>
  <si>
    <r>
      <rPr>
        <b/>
        <sz val="12"/>
        <rFont val="Times New Roman"/>
        <charset val="134"/>
      </rPr>
      <t>1/2</t>
    </r>
    <r>
      <rPr>
        <b/>
        <sz val="12"/>
        <rFont val="宋体"/>
        <charset val="134"/>
      </rPr>
      <t>坝高</t>
    </r>
    <r>
      <rPr>
        <b/>
        <sz val="12"/>
        <rFont val="宋体"/>
        <charset val="134"/>
      </rPr>
      <t>库容</t>
    </r>
    <r>
      <rPr>
        <b/>
        <sz val="12"/>
        <rFont val="Times New Roman"/>
        <charset val="134"/>
      </rPr>
      <t>/</t>
    </r>
    <r>
      <rPr>
        <b/>
        <sz val="12"/>
        <rFont val="宋体"/>
        <charset val="134"/>
      </rPr>
      <t>万</t>
    </r>
    <r>
      <rPr>
        <b/>
        <sz val="12"/>
        <rFont val="Times New Roman"/>
        <charset val="134"/>
      </rPr>
      <t>m³</t>
    </r>
  </si>
  <si>
    <r>
      <rPr>
        <b/>
        <sz val="12"/>
        <rFont val="宋体"/>
        <charset val="134"/>
      </rPr>
      <t>总库容</t>
    </r>
    <r>
      <rPr>
        <b/>
        <sz val="12"/>
        <rFont val="Times New Roman"/>
        <charset val="134"/>
      </rPr>
      <t>/</t>
    </r>
    <r>
      <rPr>
        <b/>
        <sz val="12"/>
        <rFont val="宋体"/>
        <charset val="134"/>
      </rPr>
      <t>万</t>
    </r>
    <r>
      <rPr>
        <b/>
        <sz val="12"/>
        <rFont val="Times New Roman"/>
        <charset val="134"/>
      </rPr>
      <t>m³</t>
    </r>
  </si>
  <si>
    <r>
      <rPr>
        <b/>
        <sz val="12"/>
        <rFont val="宋体"/>
        <charset val="134"/>
      </rPr>
      <t>所在小流域</t>
    </r>
  </si>
  <si>
    <r>
      <rPr>
        <b/>
        <sz val="12"/>
        <rFont val="Times New Roman"/>
        <charset val="134"/>
      </rPr>
      <t>X</t>
    </r>
    <r>
      <rPr>
        <b/>
        <sz val="12"/>
        <color theme="1"/>
        <rFont val="宋体"/>
        <charset val="134"/>
      </rPr>
      <t>坐标</t>
    </r>
  </si>
  <si>
    <r>
      <rPr>
        <b/>
        <sz val="12"/>
        <rFont val="Times New Roman"/>
        <charset val="134"/>
      </rPr>
      <t>Y</t>
    </r>
    <r>
      <rPr>
        <b/>
        <sz val="12"/>
        <color theme="1"/>
        <rFont val="宋体"/>
        <charset val="134"/>
      </rPr>
      <t>坐标</t>
    </r>
  </si>
  <si>
    <r>
      <rPr>
        <sz val="12"/>
        <color theme="1"/>
        <rFont val="宋体"/>
        <charset val="134"/>
      </rPr>
      <t>子洲县</t>
    </r>
  </si>
  <si>
    <r>
      <rPr>
        <sz val="12"/>
        <color theme="1"/>
        <rFont val="宋体"/>
        <charset val="134"/>
      </rPr>
      <t>三川口镇</t>
    </r>
  </si>
  <si>
    <r>
      <rPr>
        <sz val="12"/>
        <color theme="1"/>
        <rFont val="宋体"/>
        <charset val="134"/>
      </rPr>
      <t>候石畔村</t>
    </r>
  </si>
  <si>
    <r>
      <rPr>
        <sz val="12"/>
        <color theme="1"/>
        <rFont val="宋体"/>
        <charset val="134"/>
      </rPr>
      <t>侯石畔</t>
    </r>
  </si>
  <si>
    <r>
      <rPr>
        <sz val="12"/>
        <color theme="1"/>
        <rFont val="宋体"/>
        <charset val="134"/>
      </rPr>
      <t>中型坝</t>
    </r>
  </si>
  <si>
    <r>
      <rPr>
        <sz val="12"/>
        <color theme="1"/>
        <rFont val="宋体"/>
        <charset val="134"/>
      </rPr>
      <t>两大件（坝体、溢洪道）</t>
    </r>
  </si>
  <si>
    <r>
      <rPr>
        <sz val="12"/>
        <color theme="1"/>
        <rFont val="宋体"/>
        <charset val="134"/>
      </rPr>
      <t>侯石畔村</t>
    </r>
  </si>
  <si>
    <r>
      <rPr>
        <sz val="12"/>
        <color theme="1"/>
        <rFont val="宋体"/>
        <charset val="134"/>
      </rPr>
      <t>艾兴庄</t>
    </r>
  </si>
  <si>
    <r>
      <rPr>
        <sz val="12"/>
        <color theme="1"/>
        <rFont val="宋体"/>
        <charset val="134"/>
      </rPr>
      <t>一大件（坝体）</t>
    </r>
  </si>
  <si>
    <r>
      <rPr>
        <sz val="12"/>
        <color theme="1"/>
        <rFont val="宋体"/>
        <charset val="134"/>
      </rPr>
      <t>茆坝上</t>
    </r>
  </si>
  <si>
    <r>
      <rPr>
        <sz val="12"/>
        <color theme="1"/>
        <rFont val="宋体"/>
        <charset val="134"/>
      </rPr>
      <t>三大件（坝体、卧管、溢洪道）</t>
    </r>
  </si>
  <si>
    <r>
      <rPr>
        <sz val="12"/>
        <color theme="1"/>
        <rFont val="宋体"/>
        <charset val="134"/>
      </rPr>
      <t>周武咀</t>
    </r>
  </si>
  <si>
    <r>
      <rPr>
        <sz val="12"/>
        <color theme="1"/>
        <rFont val="宋体"/>
        <charset val="134"/>
      </rPr>
      <t>大</t>
    </r>
    <r>
      <rPr>
        <sz val="12"/>
        <color theme="1"/>
        <rFont val="Times New Roman"/>
        <charset val="134"/>
      </rPr>
      <t>2</t>
    </r>
    <r>
      <rPr>
        <sz val="12"/>
        <color theme="1"/>
        <rFont val="宋体"/>
        <charset val="134"/>
      </rPr>
      <t>型坝</t>
    </r>
  </si>
  <si>
    <r>
      <rPr>
        <sz val="12"/>
        <color theme="1"/>
        <rFont val="宋体"/>
        <charset val="134"/>
      </rPr>
      <t>两大件（坝体、竖井）</t>
    </r>
  </si>
  <si>
    <r>
      <rPr>
        <sz val="12"/>
        <color theme="1"/>
        <rFont val="宋体"/>
        <charset val="134"/>
      </rPr>
      <t>吴山村</t>
    </r>
  </si>
  <si>
    <r>
      <rPr>
        <sz val="12"/>
        <color theme="1"/>
        <rFont val="宋体"/>
        <charset val="134"/>
      </rPr>
      <t>吴家梁</t>
    </r>
  </si>
  <si>
    <r>
      <rPr>
        <sz val="12"/>
        <color theme="1"/>
        <rFont val="宋体"/>
        <charset val="134"/>
      </rPr>
      <t>两大件（坝体、卧管）</t>
    </r>
  </si>
  <si>
    <r>
      <rPr>
        <sz val="12"/>
        <color theme="1"/>
        <rFont val="宋体"/>
        <charset val="134"/>
      </rPr>
      <t>庙坪沟</t>
    </r>
  </si>
  <si>
    <r>
      <rPr>
        <sz val="12"/>
        <color theme="1"/>
        <rFont val="宋体"/>
        <charset val="134"/>
      </rPr>
      <t>桥儿沟</t>
    </r>
  </si>
  <si>
    <r>
      <rPr>
        <sz val="12"/>
        <color theme="1"/>
        <rFont val="宋体"/>
        <charset val="134"/>
      </rPr>
      <t>小常峁村</t>
    </r>
  </si>
  <si>
    <r>
      <rPr>
        <sz val="12"/>
        <color theme="1"/>
        <rFont val="宋体"/>
        <charset val="134"/>
      </rPr>
      <t>关路茆</t>
    </r>
  </si>
  <si>
    <r>
      <rPr>
        <sz val="12"/>
        <color theme="1"/>
        <rFont val="宋体"/>
        <charset val="134"/>
      </rPr>
      <t>窑峁沟</t>
    </r>
  </si>
  <si>
    <r>
      <rPr>
        <sz val="12"/>
        <color theme="1"/>
        <rFont val="宋体"/>
        <charset val="134"/>
      </rPr>
      <t>窑茆</t>
    </r>
  </si>
  <si>
    <r>
      <rPr>
        <sz val="12"/>
        <color theme="1"/>
        <rFont val="宋体"/>
        <charset val="134"/>
      </rPr>
      <t>尚家沟村</t>
    </r>
  </si>
  <si>
    <r>
      <rPr>
        <sz val="12"/>
        <color theme="1"/>
        <rFont val="宋体"/>
        <charset val="134"/>
      </rPr>
      <t>五道庙</t>
    </r>
  </si>
  <si>
    <r>
      <rPr>
        <sz val="12"/>
        <color theme="1"/>
        <rFont val="宋体"/>
        <charset val="134"/>
      </rPr>
      <t>田家沟</t>
    </r>
  </si>
  <si>
    <r>
      <rPr>
        <sz val="12"/>
        <color theme="1"/>
        <rFont val="宋体"/>
        <charset val="134"/>
      </rPr>
      <t>水渠山</t>
    </r>
  </si>
  <si>
    <r>
      <rPr>
        <sz val="12"/>
        <color theme="1"/>
        <rFont val="宋体"/>
        <charset val="134"/>
      </rPr>
      <t>麻地沟</t>
    </r>
  </si>
  <si>
    <r>
      <rPr>
        <sz val="12"/>
        <color theme="1"/>
        <rFont val="宋体"/>
        <charset val="134"/>
      </rPr>
      <t>大窑沟</t>
    </r>
  </si>
  <si>
    <r>
      <rPr>
        <sz val="12"/>
        <color theme="1"/>
        <rFont val="宋体"/>
        <charset val="134"/>
      </rPr>
      <t>杏树茆</t>
    </r>
  </si>
  <si>
    <r>
      <rPr>
        <sz val="12"/>
        <color theme="1"/>
        <rFont val="宋体"/>
        <charset val="134"/>
      </rPr>
      <t>川崖根村</t>
    </r>
  </si>
  <si>
    <r>
      <rPr>
        <sz val="12"/>
        <color theme="1"/>
        <rFont val="宋体"/>
        <charset val="134"/>
      </rPr>
      <t>文家窑</t>
    </r>
  </si>
  <si>
    <r>
      <rPr>
        <sz val="12"/>
        <color theme="1"/>
        <rFont val="宋体"/>
        <charset val="134"/>
      </rPr>
      <t>后米脂沟村</t>
    </r>
  </si>
  <si>
    <r>
      <rPr>
        <sz val="12"/>
        <color theme="1"/>
        <rFont val="宋体"/>
        <charset val="134"/>
      </rPr>
      <t>坡底</t>
    </r>
  </si>
  <si>
    <r>
      <rPr>
        <sz val="12"/>
        <color theme="1"/>
        <rFont val="宋体"/>
        <charset val="134"/>
      </rPr>
      <t>新安庄村</t>
    </r>
  </si>
  <si>
    <r>
      <rPr>
        <sz val="12"/>
        <color theme="1"/>
        <rFont val="宋体"/>
        <charset val="134"/>
      </rPr>
      <t>刘家沟</t>
    </r>
  </si>
  <si>
    <r>
      <rPr>
        <sz val="12"/>
        <color theme="1"/>
        <rFont val="宋体"/>
        <charset val="134"/>
      </rPr>
      <t>黑圪塔沟</t>
    </r>
  </si>
  <si>
    <r>
      <rPr>
        <sz val="12"/>
        <color theme="1"/>
        <rFont val="宋体"/>
        <charset val="134"/>
      </rPr>
      <t>龙家茆</t>
    </r>
  </si>
  <si>
    <r>
      <rPr>
        <sz val="12"/>
        <color theme="1"/>
        <rFont val="宋体"/>
        <charset val="134"/>
      </rPr>
      <t>杜沟岔村</t>
    </r>
  </si>
  <si>
    <r>
      <rPr>
        <sz val="12"/>
        <color theme="1"/>
        <rFont val="宋体"/>
        <charset val="134"/>
      </rPr>
      <t>园则沟</t>
    </r>
  </si>
  <si>
    <r>
      <rPr>
        <sz val="12"/>
        <color theme="1"/>
        <rFont val="宋体"/>
        <charset val="134"/>
      </rPr>
      <t>庙梁沟</t>
    </r>
    <r>
      <rPr>
        <sz val="12"/>
        <color theme="1"/>
        <rFont val="Times New Roman"/>
        <charset val="134"/>
      </rPr>
      <t>B</t>
    </r>
  </si>
  <si>
    <r>
      <rPr>
        <sz val="12"/>
        <color theme="1"/>
        <rFont val="宋体"/>
        <charset val="134"/>
      </rPr>
      <t>富塔</t>
    </r>
  </si>
  <si>
    <r>
      <rPr>
        <sz val="12"/>
        <color theme="1"/>
        <rFont val="宋体"/>
        <charset val="134"/>
      </rPr>
      <t>反修</t>
    </r>
  </si>
  <si>
    <r>
      <rPr>
        <sz val="12"/>
        <color theme="1"/>
        <rFont val="宋体"/>
        <charset val="134"/>
      </rPr>
      <t>楼坪村</t>
    </r>
  </si>
  <si>
    <r>
      <rPr>
        <sz val="12"/>
        <color theme="1"/>
        <rFont val="宋体"/>
        <charset val="134"/>
      </rPr>
      <t>青年</t>
    </r>
  </si>
  <si>
    <r>
      <rPr>
        <sz val="12"/>
        <color theme="1"/>
        <rFont val="宋体"/>
        <charset val="134"/>
      </rPr>
      <t>反帝</t>
    </r>
  </si>
  <si>
    <r>
      <rPr>
        <sz val="12"/>
        <color theme="1"/>
        <rFont val="宋体"/>
        <charset val="134"/>
      </rPr>
      <t>小沟</t>
    </r>
  </si>
  <si>
    <r>
      <rPr>
        <sz val="12"/>
        <color theme="1"/>
        <rFont val="宋体"/>
        <charset val="134"/>
      </rPr>
      <t>林兴庄村</t>
    </r>
  </si>
  <si>
    <r>
      <rPr>
        <sz val="12"/>
        <color theme="1"/>
        <rFont val="宋体"/>
        <charset val="134"/>
      </rPr>
      <t>柴火茆</t>
    </r>
  </si>
  <si>
    <r>
      <rPr>
        <sz val="12"/>
        <color theme="1"/>
        <rFont val="宋体"/>
        <charset val="134"/>
      </rPr>
      <t>蛇树沟</t>
    </r>
  </si>
  <si>
    <r>
      <rPr>
        <sz val="12"/>
        <color theme="1"/>
        <rFont val="宋体"/>
        <charset val="134"/>
      </rPr>
      <t>驼耳巷沟</t>
    </r>
  </si>
  <si>
    <r>
      <rPr>
        <sz val="12"/>
        <color theme="1"/>
        <rFont val="宋体"/>
        <charset val="134"/>
      </rPr>
      <t>大塔</t>
    </r>
  </si>
  <si>
    <r>
      <rPr>
        <sz val="12"/>
        <color theme="1"/>
        <rFont val="宋体"/>
        <charset val="134"/>
      </rPr>
      <t>毕家硷村</t>
    </r>
  </si>
  <si>
    <r>
      <rPr>
        <sz val="12"/>
        <color theme="1"/>
        <rFont val="宋体"/>
        <charset val="134"/>
      </rPr>
      <t>范渠</t>
    </r>
  </si>
  <si>
    <r>
      <rPr>
        <sz val="12"/>
        <color theme="1"/>
        <rFont val="宋体"/>
        <charset val="134"/>
      </rPr>
      <t>三大件（坝体、竖井、溢洪道）</t>
    </r>
  </si>
  <si>
    <r>
      <rPr>
        <sz val="12"/>
        <color theme="1"/>
        <rFont val="宋体"/>
        <charset val="134"/>
      </rPr>
      <t>庄则沟</t>
    </r>
  </si>
  <si>
    <r>
      <rPr>
        <sz val="12"/>
        <color theme="1"/>
        <rFont val="宋体"/>
        <charset val="134"/>
      </rPr>
      <t>牛薛沟村</t>
    </r>
  </si>
  <si>
    <r>
      <rPr>
        <sz val="12"/>
        <color theme="1"/>
        <rFont val="宋体"/>
        <charset val="134"/>
      </rPr>
      <t>应则沟</t>
    </r>
  </si>
  <si>
    <r>
      <rPr>
        <sz val="12"/>
        <color theme="1"/>
        <rFont val="宋体"/>
        <charset val="134"/>
      </rPr>
      <t>牛薛沟</t>
    </r>
  </si>
  <si>
    <r>
      <rPr>
        <sz val="12"/>
        <color theme="1"/>
        <rFont val="宋体"/>
        <charset val="134"/>
      </rPr>
      <t>罗沟</t>
    </r>
  </si>
  <si>
    <r>
      <rPr>
        <sz val="12"/>
        <color theme="1"/>
        <rFont val="宋体"/>
        <charset val="134"/>
      </rPr>
      <t>老虎沟</t>
    </r>
  </si>
  <si>
    <r>
      <rPr>
        <sz val="12"/>
        <color theme="1"/>
        <rFont val="宋体"/>
        <charset val="134"/>
      </rPr>
      <t>阳艳沟</t>
    </r>
  </si>
  <si>
    <r>
      <rPr>
        <sz val="12"/>
        <color theme="1"/>
        <rFont val="宋体"/>
        <charset val="134"/>
      </rPr>
      <t>碳窑沟</t>
    </r>
  </si>
  <si>
    <r>
      <rPr>
        <sz val="12"/>
        <color theme="1"/>
        <rFont val="宋体"/>
        <charset val="134"/>
      </rPr>
      <t>田家沟村</t>
    </r>
  </si>
  <si>
    <r>
      <rPr>
        <sz val="12"/>
        <color theme="1"/>
        <rFont val="宋体"/>
        <charset val="134"/>
      </rPr>
      <t>上杨湾</t>
    </r>
  </si>
  <si>
    <r>
      <rPr>
        <sz val="12"/>
        <color theme="1"/>
        <rFont val="宋体"/>
        <charset val="134"/>
      </rPr>
      <t>母牛石磕</t>
    </r>
  </si>
  <si>
    <r>
      <rPr>
        <sz val="12"/>
        <color theme="1"/>
        <rFont val="宋体"/>
        <charset val="134"/>
      </rPr>
      <t>黄树茆</t>
    </r>
  </si>
  <si>
    <r>
      <rPr>
        <sz val="12"/>
        <color theme="1"/>
        <rFont val="宋体"/>
        <charset val="134"/>
      </rPr>
      <t>阳道沟二</t>
    </r>
  </si>
  <si>
    <r>
      <rPr>
        <sz val="12"/>
        <color theme="1"/>
        <rFont val="宋体"/>
        <charset val="134"/>
      </rPr>
      <t>阳道沟</t>
    </r>
  </si>
  <si>
    <r>
      <rPr>
        <sz val="12"/>
        <color theme="1"/>
        <rFont val="宋体"/>
        <charset val="134"/>
      </rPr>
      <t>桃源山</t>
    </r>
  </si>
  <si>
    <r>
      <rPr>
        <sz val="12"/>
        <color theme="1"/>
        <rFont val="宋体"/>
        <charset val="134"/>
      </rPr>
      <t>崖窑茆</t>
    </r>
  </si>
  <si>
    <r>
      <rPr>
        <sz val="12"/>
        <color theme="1"/>
        <rFont val="宋体"/>
        <charset val="134"/>
      </rPr>
      <t>祥水沟村</t>
    </r>
  </si>
  <si>
    <r>
      <rPr>
        <sz val="12"/>
        <color theme="1"/>
        <rFont val="宋体"/>
        <charset val="134"/>
      </rPr>
      <t>曹河</t>
    </r>
  </si>
  <si>
    <r>
      <rPr>
        <sz val="12"/>
        <color theme="1"/>
        <rFont val="宋体"/>
        <charset val="134"/>
      </rPr>
      <t>杜阳坬</t>
    </r>
  </si>
  <si>
    <r>
      <rPr>
        <sz val="12"/>
        <color theme="1"/>
        <rFont val="宋体"/>
        <charset val="134"/>
      </rPr>
      <t>刘渠</t>
    </r>
  </si>
  <si>
    <r>
      <rPr>
        <sz val="12"/>
        <color theme="1"/>
        <rFont val="宋体"/>
        <charset val="134"/>
      </rPr>
      <t>刘家庙岔</t>
    </r>
  </si>
  <si>
    <r>
      <rPr>
        <sz val="12"/>
        <color theme="1"/>
        <rFont val="宋体"/>
        <charset val="134"/>
      </rPr>
      <t>小湾</t>
    </r>
  </si>
  <si>
    <r>
      <rPr>
        <sz val="12"/>
        <color theme="1"/>
        <rFont val="宋体"/>
        <charset val="134"/>
      </rPr>
      <t>红花楼村</t>
    </r>
  </si>
  <si>
    <r>
      <rPr>
        <sz val="12"/>
        <color theme="1"/>
        <rFont val="宋体"/>
        <charset val="134"/>
      </rPr>
      <t>沟口</t>
    </r>
  </si>
  <si>
    <r>
      <rPr>
        <sz val="12"/>
        <color theme="1"/>
        <rFont val="宋体"/>
        <charset val="134"/>
      </rPr>
      <t>枣泉则</t>
    </r>
  </si>
  <si>
    <r>
      <rPr>
        <sz val="12"/>
        <color theme="1"/>
        <rFont val="宋体"/>
        <charset val="134"/>
      </rPr>
      <t>阳路沟水库</t>
    </r>
  </si>
  <si>
    <r>
      <rPr>
        <sz val="12"/>
        <color theme="1"/>
        <rFont val="宋体"/>
        <charset val="134"/>
      </rPr>
      <t>杨路沟</t>
    </r>
  </si>
  <si>
    <r>
      <rPr>
        <sz val="12"/>
        <color theme="1"/>
        <rFont val="宋体"/>
        <charset val="134"/>
      </rPr>
      <t>菩萨庙</t>
    </r>
  </si>
  <si>
    <r>
      <rPr>
        <sz val="12"/>
        <color theme="1"/>
        <rFont val="宋体"/>
        <charset val="134"/>
      </rPr>
      <t>庙梁茅</t>
    </r>
  </si>
  <si>
    <r>
      <rPr>
        <sz val="12"/>
        <color theme="1"/>
        <rFont val="宋体"/>
        <charset val="134"/>
      </rPr>
      <t>袁阳湾村</t>
    </r>
  </si>
  <si>
    <r>
      <rPr>
        <sz val="12"/>
        <color theme="1"/>
        <rFont val="宋体"/>
        <charset val="134"/>
      </rPr>
      <t>正沟</t>
    </r>
  </si>
  <si>
    <r>
      <rPr>
        <sz val="12"/>
        <color theme="1"/>
        <rFont val="宋体"/>
        <charset val="134"/>
      </rPr>
      <t>西庄村</t>
    </r>
  </si>
  <si>
    <r>
      <rPr>
        <sz val="12"/>
        <color theme="1"/>
        <rFont val="宋体"/>
        <charset val="134"/>
      </rPr>
      <t>马勺峁</t>
    </r>
  </si>
  <si>
    <r>
      <rPr>
        <sz val="12"/>
        <color theme="1"/>
        <rFont val="宋体"/>
        <charset val="134"/>
      </rPr>
      <t>豆清山</t>
    </r>
  </si>
  <si>
    <r>
      <rPr>
        <sz val="12"/>
        <color theme="1"/>
        <rFont val="宋体"/>
        <charset val="134"/>
      </rPr>
      <t>刘启首</t>
    </r>
  </si>
  <si>
    <r>
      <rPr>
        <sz val="12"/>
        <color theme="1"/>
        <rFont val="宋体"/>
        <charset val="134"/>
      </rPr>
      <t>二曹湾</t>
    </r>
  </si>
  <si>
    <r>
      <rPr>
        <sz val="12"/>
        <color theme="1"/>
        <rFont val="宋体"/>
        <charset val="134"/>
      </rPr>
      <t>豆清山二</t>
    </r>
  </si>
  <si>
    <r>
      <rPr>
        <sz val="12"/>
        <color theme="1"/>
        <rFont val="宋体"/>
        <charset val="134"/>
      </rPr>
      <t>椿树茆</t>
    </r>
  </si>
  <si>
    <r>
      <rPr>
        <sz val="12"/>
        <color theme="1"/>
        <rFont val="宋体"/>
        <charset val="134"/>
      </rPr>
      <t>背园则湾</t>
    </r>
  </si>
  <si>
    <r>
      <rPr>
        <sz val="12"/>
        <color theme="1"/>
        <rFont val="宋体"/>
        <charset val="134"/>
      </rPr>
      <t>西庄</t>
    </r>
  </si>
  <si>
    <r>
      <rPr>
        <sz val="12"/>
        <color theme="1"/>
        <rFont val="宋体"/>
        <charset val="134"/>
      </rPr>
      <t>大</t>
    </r>
    <r>
      <rPr>
        <sz val="12"/>
        <color theme="1"/>
        <rFont val="Times New Roman"/>
        <charset val="134"/>
      </rPr>
      <t>1</t>
    </r>
    <r>
      <rPr>
        <sz val="12"/>
        <color theme="1"/>
        <rFont val="宋体"/>
        <charset val="134"/>
      </rPr>
      <t>型坝</t>
    </r>
  </si>
  <si>
    <r>
      <rPr>
        <sz val="12"/>
        <color theme="1"/>
        <rFont val="宋体"/>
        <charset val="134"/>
      </rPr>
      <t>阳湾村</t>
    </r>
  </si>
  <si>
    <r>
      <rPr>
        <sz val="12"/>
        <color theme="1"/>
        <rFont val="宋体"/>
        <charset val="134"/>
      </rPr>
      <t>暖水沟</t>
    </r>
  </si>
  <si>
    <r>
      <rPr>
        <sz val="12"/>
        <color theme="1"/>
        <rFont val="宋体"/>
        <charset val="134"/>
      </rPr>
      <t>高家沟</t>
    </r>
  </si>
  <si>
    <r>
      <rPr>
        <sz val="12"/>
        <color theme="1"/>
        <rFont val="宋体"/>
        <charset val="134"/>
      </rPr>
      <t>香炉沟村</t>
    </r>
  </si>
  <si>
    <r>
      <rPr>
        <sz val="12"/>
        <color theme="1"/>
        <rFont val="宋体"/>
        <charset val="134"/>
      </rPr>
      <t>王石畔</t>
    </r>
  </si>
  <si>
    <r>
      <rPr>
        <sz val="12"/>
        <color theme="1"/>
        <rFont val="宋体"/>
        <charset val="134"/>
      </rPr>
      <t>高兴庄</t>
    </r>
  </si>
  <si>
    <r>
      <rPr>
        <sz val="12"/>
        <color theme="1"/>
        <rFont val="宋体"/>
        <charset val="134"/>
      </rPr>
      <t>马家沟村</t>
    </r>
  </si>
  <si>
    <r>
      <rPr>
        <sz val="12"/>
        <color theme="1"/>
        <rFont val="宋体"/>
        <charset val="134"/>
      </rPr>
      <t>杨庄</t>
    </r>
    <r>
      <rPr>
        <sz val="12"/>
        <color theme="1"/>
        <rFont val="Times New Roman"/>
        <charset val="134"/>
      </rPr>
      <t>2</t>
    </r>
  </si>
  <si>
    <r>
      <rPr>
        <sz val="12"/>
        <color theme="1"/>
        <rFont val="宋体"/>
        <charset val="134"/>
      </rPr>
      <t>杨庄</t>
    </r>
    <r>
      <rPr>
        <sz val="12"/>
        <color theme="1"/>
        <rFont val="Times New Roman"/>
        <charset val="134"/>
      </rPr>
      <t>1</t>
    </r>
  </si>
  <si>
    <r>
      <rPr>
        <sz val="12"/>
        <color theme="1"/>
        <rFont val="宋体"/>
        <charset val="134"/>
      </rPr>
      <t>龙庄坝</t>
    </r>
  </si>
  <si>
    <r>
      <rPr>
        <sz val="12"/>
        <color theme="1"/>
        <rFont val="宋体"/>
        <charset val="134"/>
      </rPr>
      <t>高墕村</t>
    </r>
  </si>
  <si>
    <r>
      <rPr>
        <sz val="12"/>
        <color theme="1"/>
        <rFont val="宋体"/>
        <charset val="134"/>
      </rPr>
      <t>庙沟</t>
    </r>
  </si>
  <si>
    <r>
      <rPr>
        <sz val="12"/>
        <color theme="1"/>
        <rFont val="宋体"/>
        <charset val="134"/>
      </rPr>
      <t>双湖峪街道办事处</t>
    </r>
  </si>
  <si>
    <r>
      <rPr>
        <sz val="12"/>
        <color theme="1"/>
        <rFont val="宋体"/>
        <charset val="134"/>
      </rPr>
      <t>大窑墕村</t>
    </r>
  </si>
  <si>
    <r>
      <rPr>
        <sz val="12"/>
        <color theme="1"/>
        <rFont val="宋体"/>
        <charset val="134"/>
      </rPr>
      <t>黑疙瘩沟</t>
    </r>
  </si>
  <si>
    <r>
      <rPr>
        <sz val="12"/>
        <color theme="1"/>
        <rFont val="宋体"/>
        <charset val="134"/>
      </rPr>
      <t>羊路沟</t>
    </r>
  </si>
  <si>
    <r>
      <rPr>
        <sz val="12"/>
        <color theme="1"/>
        <rFont val="宋体"/>
        <charset val="134"/>
      </rPr>
      <t>高家渠村</t>
    </r>
  </si>
  <si>
    <r>
      <rPr>
        <sz val="12"/>
        <color theme="1"/>
        <rFont val="宋体"/>
        <charset val="134"/>
      </rPr>
      <t>清水</t>
    </r>
  </si>
  <si>
    <r>
      <rPr>
        <sz val="12"/>
        <color theme="1"/>
        <rFont val="宋体"/>
        <charset val="134"/>
      </rPr>
      <t>大理河</t>
    </r>
  </si>
  <si>
    <r>
      <rPr>
        <sz val="12"/>
        <color theme="1"/>
        <rFont val="宋体"/>
        <charset val="134"/>
      </rPr>
      <t>杨家沟</t>
    </r>
  </si>
  <si>
    <r>
      <rPr>
        <sz val="12"/>
        <color theme="1"/>
        <rFont val="宋体"/>
        <charset val="134"/>
      </rPr>
      <t>曹坪麻地沟</t>
    </r>
  </si>
  <si>
    <r>
      <rPr>
        <sz val="12"/>
        <color theme="1"/>
        <rFont val="宋体"/>
        <charset val="134"/>
      </rPr>
      <t>电市镇（李孝河、水地湾）</t>
    </r>
  </si>
  <si>
    <r>
      <rPr>
        <sz val="12"/>
        <color theme="1"/>
        <rFont val="宋体"/>
        <charset val="134"/>
      </rPr>
      <t>跃则梁村</t>
    </r>
  </si>
  <si>
    <r>
      <rPr>
        <sz val="12"/>
        <color theme="1"/>
        <rFont val="宋体"/>
        <charset val="134"/>
      </rPr>
      <t>毛子沟</t>
    </r>
  </si>
  <si>
    <r>
      <rPr>
        <sz val="12"/>
        <color theme="1"/>
        <rFont val="宋体"/>
        <charset val="134"/>
      </rPr>
      <t>捞饭盆子沟</t>
    </r>
  </si>
  <si>
    <r>
      <rPr>
        <sz val="12"/>
        <color theme="1"/>
        <rFont val="宋体"/>
        <charset val="134"/>
      </rPr>
      <t>大沟</t>
    </r>
  </si>
  <si>
    <r>
      <rPr>
        <sz val="12"/>
        <color theme="1"/>
        <rFont val="宋体"/>
        <charset val="134"/>
      </rPr>
      <t>马蹄沟镇（瓜园则湾）</t>
    </r>
  </si>
  <si>
    <r>
      <rPr>
        <sz val="12"/>
        <color theme="1"/>
        <rFont val="宋体"/>
        <charset val="134"/>
      </rPr>
      <t>屈家山村</t>
    </r>
  </si>
  <si>
    <r>
      <rPr>
        <sz val="12"/>
        <color theme="1"/>
        <rFont val="宋体"/>
        <charset val="134"/>
      </rPr>
      <t>磨扇沟</t>
    </r>
  </si>
  <si>
    <r>
      <rPr>
        <sz val="12"/>
        <color theme="1"/>
        <rFont val="宋体"/>
        <charset val="134"/>
      </rPr>
      <t>何家梁</t>
    </r>
  </si>
  <si>
    <r>
      <rPr>
        <sz val="12"/>
        <color theme="1"/>
        <rFont val="宋体"/>
        <charset val="134"/>
      </rPr>
      <t>背洼沟</t>
    </r>
  </si>
  <si>
    <r>
      <rPr>
        <sz val="12"/>
        <color theme="1"/>
        <rFont val="宋体"/>
        <charset val="134"/>
      </rPr>
      <t>井沟</t>
    </r>
    <r>
      <rPr>
        <sz val="12"/>
        <color theme="1"/>
        <rFont val="Times New Roman"/>
        <charset val="134"/>
      </rPr>
      <t>1</t>
    </r>
  </si>
  <si>
    <r>
      <rPr>
        <sz val="12"/>
        <color theme="1"/>
        <rFont val="宋体"/>
        <charset val="134"/>
      </rPr>
      <t>团结坝</t>
    </r>
  </si>
  <si>
    <r>
      <rPr>
        <sz val="12"/>
        <color theme="1"/>
        <rFont val="宋体"/>
        <charset val="134"/>
      </rPr>
      <t>东山坝</t>
    </r>
  </si>
  <si>
    <r>
      <rPr>
        <sz val="12"/>
        <color theme="1"/>
        <rFont val="宋体"/>
        <charset val="134"/>
      </rPr>
      <t>草湾村</t>
    </r>
  </si>
  <si>
    <r>
      <rPr>
        <sz val="12"/>
        <color theme="1"/>
        <rFont val="宋体"/>
        <charset val="134"/>
      </rPr>
      <t>后沟坝</t>
    </r>
  </si>
  <si>
    <r>
      <rPr>
        <sz val="12"/>
        <color theme="1"/>
        <rFont val="宋体"/>
        <charset val="134"/>
      </rPr>
      <t>寨子沟坝</t>
    </r>
  </si>
  <si>
    <r>
      <rPr>
        <sz val="12"/>
        <color theme="1"/>
        <rFont val="宋体"/>
        <charset val="134"/>
      </rPr>
      <t>麻地沟村</t>
    </r>
  </si>
  <si>
    <r>
      <rPr>
        <sz val="12"/>
        <color theme="1"/>
        <rFont val="宋体"/>
        <charset val="134"/>
      </rPr>
      <t>白草滩</t>
    </r>
  </si>
  <si>
    <r>
      <rPr>
        <sz val="12"/>
        <color theme="1"/>
        <rFont val="宋体"/>
        <charset val="134"/>
      </rPr>
      <t>团结大坝</t>
    </r>
  </si>
  <si>
    <r>
      <rPr>
        <sz val="12"/>
        <color theme="1"/>
        <rFont val="宋体"/>
        <charset val="134"/>
      </rPr>
      <t>横山区</t>
    </r>
  </si>
  <si>
    <r>
      <rPr>
        <sz val="12"/>
        <color theme="1"/>
        <rFont val="宋体"/>
        <charset val="134"/>
      </rPr>
      <t>韩岔镇（石窑沟）</t>
    </r>
  </si>
  <si>
    <r>
      <rPr>
        <sz val="12"/>
        <color theme="1"/>
        <rFont val="宋体"/>
        <charset val="134"/>
      </rPr>
      <t>永兴村</t>
    </r>
  </si>
  <si>
    <r>
      <rPr>
        <sz val="12"/>
        <color theme="1"/>
        <rFont val="宋体"/>
        <charset val="134"/>
      </rPr>
      <t>红崖峁</t>
    </r>
  </si>
  <si>
    <r>
      <rPr>
        <sz val="12"/>
        <color theme="1"/>
        <rFont val="宋体"/>
        <charset val="134"/>
      </rPr>
      <t>米脂县</t>
    </r>
  </si>
  <si>
    <r>
      <rPr>
        <sz val="12"/>
        <color theme="1"/>
        <rFont val="宋体"/>
        <charset val="134"/>
      </rPr>
      <t>杜家石沟镇</t>
    </r>
  </si>
  <si>
    <r>
      <rPr>
        <sz val="12"/>
        <color theme="1"/>
        <rFont val="宋体"/>
        <charset val="134"/>
      </rPr>
      <t>闫家畔村</t>
    </r>
  </si>
  <si>
    <r>
      <rPr>
        <sz val="12"/>
        <color theme="1"/>
        <rFont val="宋体"/>
        <charset val="134"/>
      </rPr>
      <t>姬家园</t>
    </r>
  </si>
  <si>
    <r>
      <rPr>
        <sz val="12"/>
        <color theme="1"/>
        <rFont val="宋体"/>
        <charset val="134"/>
      </rPr>
      <t>井路沟</t>
    </r>
  </si>
  <si>
    <r>
      <rPr>
        <sz val="12"/>
        <color theme="1"/>
        <rFont val="宋体"/>
        <charset val="134"/>
      </rPr>
      <t>界也沟</t>
    </r>
  </si>
  <si>
    <r>
      <rPr>
        <sz val="12"/>
        <color theme="1"/>
        <rFont val="宋体"/>
        <charset val="134"/>
      </rPr>
      <t>黑彦青村</t>
    </r>
  </si>
  <si>
    <r>
      <rPr>
        <sz val="12"/>
        <color theme="1"/>
        <rFont val="宋体"/>
        <charset val="134"/>
      </rPr>
      <t>田水沟</t>
    </r>
  </si>
  <si>
    <r>
      <rPr>
        <sz val="12"/>
        <color theme="1"/>
        <rFont val="宋体"/>
        <charset val="134"/>
      </rPr>
      <t>阳沟</t>
    </r>
  </si>
  <si>
    <r>
      <rPr>
        <sz val="12"/>
        <color theme="1"/>
        <rFont val="宋体"/>
        <charset val="134"/>
      </rPr>
      <t>郭兴庄镇</t>
    </r>
  </si>
  <si>
    <r>
      <rPr>
        <sz val="12"/>
        <color theme="1"/>
        <rFont val="宋体"/>
        <charset val="134"/>
      </rPr>
      <t>天王塔村</t>
    </r>
  </si>
  <si>
    <r>
      <rPr>
        <sz val="12"/>
        <color theme="1"/>
        <rFont val="宋体"/>
        <charset val="134"/>
      </rPr>
      <t>小号湾沟</t>
    </r>
  </si>
  <si>
    <r>
      <rPr>
        <sz val="12"/>
        <color theme="1"/>
        <rFont val="宋体"/>
        <charset val="134"/>
      </rPr>
      <t>崖窑峁沟</t>
    </r>
  </si>
  <si>
    <r>
      <rPr>
        <sz val="12"/>
        <color theme="1"/>
        <rFont val="宋体"/>
        <charset val="134"/>
      </rPr>
      <t>杨家峁村</t>
    </r>
  </si>
  <si>
    <r>
      <rPr>
        <sz val="12"/>
        <color theme="1"/>
        <rFont val="宋体"/>
        <charset val="134"/>
      </rPr>
      <t>大南峁沟</t>
    </r>
  </si>
  <si>
    <r>
      <rPr>
        <sz val="12"/>
        <color theme="1"/>
        <rFont val="宋体"/>
        <charset val="134"/>
      </rPr>
      <t>龙镇</t>
    </r>
  </si>
  <si>
    <r>
      <rPr>
        <sz val="12"/>
        <color theme="1"/>
        <rFont val="宋体"/>
        <charset val="134"/>
      </rPr>
      <t>东坪墕村</t>
    </r>
  </si>
  <si>
    <r>
      <rPr>
        <sz val="12"/>
        <color theme="1"/>
        <rFont val="宋体"/>
        <charset val="134"/>
      </rPr>
      <t>飞虫山后沟</t>
    </r>
  </si>
  <si>
    <r>
      <rPr>
        <sz val="12"/>
        <color theme="1"/>
        <rFont val="宋体"/>
        <charset val="134"/>
      </rPr>
      <t>飞虫山前沟</t>
    </r>
  </si>
  <si>
    <r>
      <rPr>
        <sz val="12"/>
        <color theme="1"/>
        <rFont val="宋体"/>
        <charset val="134"/>
      </rPr>
      <t>杜阳坬村</t>
    </r>
  </si>
  <si>
    <r>
      <rPr>
        <sz val="12"/>
        <color theme="1"/>
        <rFont val="宋体"/>
        <charset val="134"/>
      </rPr>
      <t>庙宇梁</t>
    </r>
  </si>
  <si>
    <r>
      <rPr>
        <sz val="12"/>
        <color theme="1"/>
        <rFont val="宋体"/>
        <charset val="134"/>
      </rPr>
      <t>小塔沟</t>
    </r>
  </si>
  <si>
    <r>
      <rPr>
        <sz val="12"/>
        <color theme="1"/>
        <rFont val="宋体"/>
        <charset val="134"/>
      </rPr>
      <t>鸳鸯湾</t>
    </r>
  </si>
  <si>
    <r>
      <rPr>
        <sz val="12"/>
        <color theme="1"/>
        <rFont val="宋体"/>
        <charset val="134"/>
      </rPr>
      <t>鸳鸯湾</t>
    </r>
    <r>
      <rPr>
        <sz val="12"/>
        <color theme="1"/>
        <rFont val="Times New Roman"/>
        <charset val="134"/>
      </rPr>
      <t>1#</t>
    </r>
  </si>
  <si>
    <t>大1型坝</t>
  </si>
  <si>
    <t>一大件（坝体）</t>
  </si>
  <si>
    <r>
      <rPr>
        <sz val="12"/>
        <color theme="1"/>
        <rFont val="宋体"/>
        <charset val="134"/>
      </rPr>
      <t>了洲县</t>
    </r>
  </si>
  <si>
    <r>
      <rPr>
        <sz val="12"/>
        <color theme="1"/>
        <rFont val="宋体"/>
        <charset val="134"/>
      </rPr>
      <t>西庄</t>
    </r>
    <r>
      <rPr>
        <sz val="12"/>
        <color theme="1"/>
        <rFont val="Times New Roman"/>
        <charset val="134"/>
      </rPr>
      <t>1#</t>
    </r>
  </si>
  <si>
    <t>高家沟1#</t>
  </si>
  <si>
    <t>中型坝</t>
  </si>
  <si>
    <t>两大件（坝体、溢洪道）</t>
  </si>
  <si>
    <t>马湾沟</t>
  </si>
  <si>
    <t>井沟</t>
  </si>
  <si>
    <r>
      <rPr>
        <sz val="12"/>
        <color theme="1"/>
        <rFont val="宋体"/>
        <charset val="134"/>
      </rPr>
      <t>高家峁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</si>
  <si>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后沟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</si>
  <si>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五湖渠</t>
    </r>
  </si>
  <si>
    <r>
      <rPr>
        <sz val="12"/>
        <color theme="1"/>
        <rFont val="宋体"/>
        <charset val="134"/>
      </rPr>
      <t>李家峁</t>
    </r>
    <r>
      <rPr>
        <sz val="12"/>
        <color theme="1"/>
        <rFont val="Times New Roman"/>
        <charset val="134"/>
      </rPr>
      <t>1#</t>
    </r>
  </si>
  <si>
    <t>尚家沟</t>
  </si>
  <si>
    <r>
      <rPr>
        <sz val="12"/>
        <color theme="1"/>
        <rFont val="宋体"/>
        <charset val="134"/>
      </rPr>
      <t>袁阳湾</t>
    </r>
  </si>
  <si>
    <r>
      <rPr>
        <sz val="12"/>
        <color theme="1"/>
        <rFont val="宋体"/>
        <charset val="134"/>
      </rPr>
      <t>庙和峁</t>
    </r>
    <r>
      <rPr>
        <sz val="12"/>
        <color theme="1"/>
        <rFont val="Times New Roman"/>
        <charset val="134"/>
      </rPr>
      <t>1</t>
    </r>
  </si>
  <si>
    <t>小型坝</t>
  </si>
  <si>
    <t>高据湾</t>
  </si>
  <si>
    <r>
      <rPr>
        <sz val="12"/>
        <color theme="1"/>
        <rFont val="宋体"/>
        <charset val="134"/>
      </rPr>
      <t>井沟</t>
    </r>
  </si>
  <si>
    <t>柳树峁</t>
  </si>
  <si>
    <t>两大件（坝体、卧管）</t>
  </si>
  <si>
    <r>
      <rPr>
        <sz val="12"/>
        <color theme="1"/>
        <rFont val="宋体"/>
        <charset val="134"/>
      </rPr>
      <t>反修</t>
    </r>
    <r>
      <rPr>
        <sz val="12"/>
        <color theme="1"/>
        <rFont val="Times New Roman"/>
        <charset val="134"/>
      </rPr>
      <t>2#</t>
    </r>
  </si>
  <si>
    <r>
      <rPr>
        <sz val="12"/>
        <color theme="1"/>
        <rFont val="宋体"/>
        <charset val="134"/>
      </rPr>
      <t>电市镇</t>
    </r>
    <r>
      <rPr>
        <sz val="12"/>
        <color theme="1"/>
        <rFont val="Times New Roman"/>
        <charset val="134"/>
      </rPr>
      <t>(</t>
    </r>
    <r>
      <rPr>
        <sz val="12"/>
        <color theme="1"/>
        <rFont val="宋体"/>
        <charset val="134"/>
      </rPr>
      <t>李多河、水地湾</t>
    </r>
    <r>
      <rPr>
        <sz val="12"/>
        <color theme="1"/>
        <rFont val="Times New Roman"/>
        <charset val="134"/>
      </rPr>
      <t>)</t>
    </r>
  </si>
  <si>
    <r>
      <rPr>
        <sz val="12"/>
        <color theme="1"/>
        <rFont val="宋体"/>
        <charset val="134"/>
      </rPr>
      <t>捞饭盆正沟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</si>
  <si>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吴家梁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</si>
  <si>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富塔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</si>
  <si>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楼坪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</si>
  <si>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大南峁沟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</si>
  <si>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桥儿沟</t>
    </r>
    <r>
      <rPr>
        <sz val="12"/>
        <color theme="1"/>
        <rFont val="Times New Roman"/>
        <charset val="134"/>
      </rPr>
      <t>2#</t>
    </r>
  </si>
  <si>
    <r>
      <rPr>
        <sz val="12"/>
        <color theme="1"/>
        <rFont val="宋体"/>
        <charset val="134"/>
      </rPr>
      <t>龙庄坝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</si>
  <si>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蛇沟村</t>
    </r>
  </si>
  <si>
    <r>
      <rPr>
        <sz val="12"/>
        <color theme="1"/>
        <rFont val="宋体"/>
        <charset val="134"/>
      </rPr>
      <t>蛇沟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</si>
  <si>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蛇沟</t>
    </r>
    <r>
      <rPr>
        <sz val="12"/>
        <color theme="1"/>
        <rFont val="Times New Roman"/>
        <charset val="134"/>
      </rPr>
      <t>2#</t>
    </r>
  </si>
  <si>
    <r>
      <rPr>
        <sz val="12"/>
        <color theme="1"/>
        <rFont val="宋体"/>
        <charset val="134"/>
      </rPr>
      <t>蛇沟</t>
    </r>
    <r>
      <rPr>
        <sz val="12"/>
        <color theme="1"/>
        <rFont val="Times New Roman"/>
        <charset val="134"/>
      </rPr>
      <t>3#</t>
    </r>
  </si>
  <si>
    <r>
      <rPr>
        <sz val="12"/>
        <color theme="1"/>
        <rFont val="宋体"/>
        <charset val="134"/>
      </rPr>
      <t>小燕沟</t>
    </r>
  </si>
  <si>
    <r>
      <rPr>
        <sz val="12"/>
        <color theme="1"/>
        <rFont val="宋体"/>
        <charset val="134"/>
      </rPr>
      <t>罗沟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</si>
  <si>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应则沟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</si>
  <si>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务庄村</t>
    </r>
  </si>
  <si>
    <r>
      <rPr>
        <sz val="12"/>
        <color theme="1"/>
        <rFont val="宋体"/>
        <charset val="134"/>
      </rPr>
      <t>务庄</t>
    </r>
  </si>
  <si>
    <r>
      <rPr>
        <sz val="12"/>
        <color theme="1"/>
        <rFont val="宋体"/>
        <charset val="134"/>
      </rPr>
      <t>杨庄</t>
    </r>
    <r>
      <rPr>
        <sz val="12"/>
        <color theme="1"/>
        <rFont val="Times New Roman"/>
        <charset val="134"/>
      </rPr>
      <t>3#</t>
    </r>
  </si>
  <si>
    <r>
      <rPr>
        <sz val="12"/>
        <color theme="1"/>
        <rFont val="宋体"/>
        <charset val="134"/>
      </rPr>
      <t>刘家庙岔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</si>
  <si>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艾兴庄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</si>
  <si>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阳沟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</si>
  <si>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桥儿沟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</si>
  <si>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大塔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</si>
  <si>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井沟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</si>
  <si>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后米脂沟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</si>
  <si>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青年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</si>
  <si>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富塔</t>
    </r>
    <r>
      <rPr>
        <sz val="12"/>
        <color theme="1"/>
        <rFont val="Times New Roman"/>
        <charset val="134"/>
      </rPr>
      <t>2#</t>
    </r>
  </si>
  <si>
    <r>
      <rPr>
        <sz val="12"/>
        <color theme="1"/>
        <rFont val="宋体"/>
        <charset val="134"/>
      </rPr>
      <t>峁对面</t>
    </r>
  </si>
  <si>
    <r>
      <rPr>
        <sz val="12"/>
        <color theme="1"/>
        <rFont val="宋体"/>
        <charset val="134"/>
      </rPr>
      <t>后沟</t>
    </r>
    <r>
      <rPr>
        <sz val="12"/>
        <color theme="1"/>
        <rFont val="Times New Roman"/>
        <charset val="134"/>
      </rPr>
      <t>2#</t>
    </r>
  </si>
  <si>
    <r>
      <rPr>
        <sz val="12"/>
        <color theme="1"/>
        <rFont val="宋体"/>
        <charset val="134"/>
      </rPr>
      <t>井沟</t>
    </r>
    <r>
      <rPr>
        <sz val="12"/>
        <color theme="1"/>
        <rFont val="Times New Roman"/>
        <charset val="134"/>
      </rPr>
      <t>2#</t>
    </r>
  </si>
  <si>
    <r>
      <rPr>
        <sz val="12"/>
        <color theme="1"/>
        <rFont val="宋体"/>
        <charset val="134"/>
      </rPr>
      <t>飞虫山后沟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</si>
  <si>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小塔沟</t>
    </r>
    <r>
      <rPr>
        <sz val="12"/>
        <color theme="1"/>
        <rFont val="Times New Roman"/>
        <charset val="134"/>
      </rPr>
      <t>1#</t>
    </r>
  </si>
  <si>
    <r>
      <rPr>
        <sz val="12"/>
        <color theme="1"/>
        <rFont val="宋体"/>
        <charset val="134"/>
      </rPr>
      <t>小湾</t>
    </r>
    <r>
      <rPr>
        <sz val="12"/>
        <color theme="1"/>
        <rFont val="Times New Roman"/>
        <charset val="134"/>
      </rPr>
      <t>1#</t>
    </r>
  </si>
  <si>
    <t>Check Dam Information Input</t>
  </si>
  <si>
    <t>Check Dam Coordinate Information</t>
  </si>
  <si>
    <t>No</t>
  </si>
  <si>
    <t>Nm</t>
  </si>
  <si>
    <t>Zcr</t>
  </si>
  <si>
    <t>Aa</t>
  </si>
  <si>
    <t>Vcr</t>
  </si>
  <si>
    <t>Hs</t>
  </si>
  <si>
    <t>Zn</t>
  </si>
  <si>
    <t>Zsp</t>
  </si>
  <si>
    <t>B</t>
  </si>
  <si>
    <t>k'</t>
  </si>
  <si>
    <t>k</t>
  </si>
  <si>
    <t>Win</t>
  </si>
  <si>
    <t>Dam Name</t>
  </si>
  <si>
    <t>X</t>
  </si>
  <si>
    <t>Y</t>
  </si>
  <si>
    <t>Houshipan</t>
  </si>
  <si>
    <t>Aixingzhuang</t>
  </si>
  <si>
    <t>Basic information input</t>
  </si>
  <si>
    <t>Maobashang</t>
  </si>
  <si>
    <t>N</t>
  </si>
  <si>
    <t>Number of check dams</t>
  </si>
  <si>
    <t>Zhouwuqu</t>
  </si>
  <si>
    <t>P</t>
  </si>
  <si>
    <t>Rainfall depth,mm</t>
  </si>
  <si>
    <t>Wujialiang</t>
  </si>
  <si>
    <t>Hp</t>
  </si>
  <si>
    <t>Rainfall duration,h</t>
  </si>
  <si>
    <t>Qiaoergou</t>
  </si>
  <si>
    <t>Rc</t>
  </si>
  <si>
    <t>Runoff coefficient</t>
  </si>
  <si>
    <t>Guanlumao</t>
  </si>
  <si>
    <t>C</t>
  </si>
  <si>
    <t>Discharge coefficient</t>
  </si>
  <si>
    <t>Yaomao</t>
  </si>
  <si>
    <t>Nr</t>
  </si>
  <si>
    <t>Number of time steps</t>
  </si>
  <si>
    <t>Wudaomiao</t>
  </si>
  <si>
    <t>Sign</t>
  </si>
  <si>
    <t>Uniform or triangular flood hydrograph</t>
  </si>
  <si>
    <t>Shuiqushan</t>
  </si>
  <si>
    <t>afa</t>
  </si>
  <si>
    <t>Flood rising duration coefficient</t>
  </si>
  <si>
    <t>Dayaogou</t>
  </si>
  <si>
    <t>XDM</t>
  </si>
  <si>
    <t>Watershed underlying surface classification</t>
  </si>
  <si>
    <t>Xingshumao</t>
  </si>
  <si>
    <t>L</t>
  </si>
  <si>
    <t>Main channel length, km</t>
  </si>
  <si>
    <t>Wenjiamao</t>
  </si>
  <si>
    <t>J</t>
  </si>
  <si>
    <t>Main channel longitudinal slope,‰</t>
  </si>
  <si>
    <t>Fendi</t>
  </si>
  <si>
    <t>Liujiagou</t>
  </si>
  <si>
    <t>Longjiamao</t>
  </si>
  <si>
    <t>Yuanzegou</t>
  </si>
  <si>
    <t>Futa</t>
  </si>
  <si>
    <t>Fanxiu</t>
  </si>
  <si>
    <t>Qingnian</t>
  </si>
  <si>
    <t>Fandi</t>
  </si>
  <si>
    <t>Xiaogou</t>
  </si>
  <si>
    <t>Chaihuomao</t>
  </si>
  <si>
    <t>Sheshugou</t>
  </si>
  <si>
    <t>Tuoerxianggou</t>
  </si>
  <si>
    <t>Data</t>
  </si>
  <si>
    <t>Data1#</t>
  </si>
  <si>
    <t>Fanqu</t>
  </si>
  <si>
    <t>Zhuangzegou</t>
  </si>
  <si>
    <t>Yingzegou</t>
  </si>
  <si>
    <t>Luogou</t>
  </si>
  <si>
    <t>Laohugou</t>
  </si>
  <si>
    <t>Yangyangou</t>
  </si>
  <si>
    <t>Tanyaogou</t>
  </si>
  <si>
    <t>Shangyangwan</t>
  </si>
  <si>
    <t>Muniushike</t>
  </si>
  <si>
    <t>Huangshumao</t>
  </si>
  <si>
    <t>Yangdaogouer</t>
  </si>
  <si>
    <t>Yangdaogou</t>
  </si>
  <si>
    <t>Taoyuanshan</t>
  </si>
  <si>
    <t>Yayaomao</t>
  </si>
  <si>
    <t>Caohe</t>
  </si>
  <si>
    <t>Liuqu</t>
  </si>
  <si>
    <t>Liujiamiaocha</t>
  </si>
  <si>
    <t>Xiaowan</t>
  </si>
  <si>
    <t>Goukou</t>
  </si>
  <si>
    <t>Zaoquanze</t>
  </si>
  <si>
    <t>Yanglugou</t>
  </si>
  <si>
    <t>Pusamiao</t>
  </si>
  <si>
    <t>Miaoliangmao</t>
  </si>
  <si>
    <t>#######</t>
  </si>
  <si>
    <t>Zhenggou</t>
  </si>
  <si>
    <t>Mashaomao</t>
  </si>
  <si>
    <t>Douqingshan</t>
  </si>
  <si>
    <t>Liuqishou</t>
  </si>
  <si>
    <t>Ercaowan</t>
  </si>
  <si>
    <t>Douqingshaner</t>
  </si>
  <si>
    <t>Chunshumao</t>
  </si>
  <si>
    <t>Beiyuanzewan</t>
  </si>
  <si>
    <t>Xizhuang</t>
  </si>
  <si>
    <t>Nuanshuigou</t>
  </si>
  <si>
    <t>Gaojiagou</t>
  </si>
  <si>
    <t>Wangshipan</t>
  </si>
  <si>
    <t>Gaoxingzhuang</t>
  </si>
  <si>
    <t>Yangzhuang2</t>
  </si>
  <si>
    <t>Yangzhuang1</t>
  </si>
  <si>
    <t>Longzhuang</t>
  </si>
  <si>
    <t>Miaogou</t>
  </si>
  <si>
    <t>Heigedagou</t>
  </si>
  <si>
    <t>Qingshui</t>
  </si>
  <si>
    <t>Yangjiagou</t>
  </si>
  <si>
    <t>Caopingmadigou</t>
  </si>
  <si>
    <t>Maozigou</t>
  </si>
  <si>
    <t>Laofanpenzigou</t>
  </si>
  <si>
    <t>Dagou</t>
  </si>
  <si>
    <t>Moshangou</t>
  </si>
  <si>
    <t>Hejialiang</t>
  </si>
  <si>
    <t>Beiwagou</t>
  </si>
  <si>
    <t>Jinggou1</t>
  </si>
  <si>
    <t>Tuanjieba</t>
  </si>
  <si>
    <t>Dongshanba</t>
  </si>
  <si>
    <t>Hougouba</t>
  </si>
  <si>
    <t>Zhaizigouba</t>
  </si>
  <si>
    <t>Baicaotan</t>
  </si>
  <si>
    <t>Tuanjiedaba</t>
  </si>
  <si>
    <t>Hongyamao</t>
  </si>
  <si>
    <t>Jijiayuan</t>
  </si>
  <si>
    <t>Jinglugou</t>
  </si>
  <si>
    <t>Jieyegou</t>
  </si>
  <si>
    <t>Tianshuigou</t>
  </si>
  <si>
    <t>Yanggou</t>
  </si>
  <si>
    <t>Xiaohaowangou</t>
  </si>
  <si>
    <t>Yayaomaogou</t>
  </si>
  <si>
    <t>Dananmaogou</t>
  </si>
  <si>
    <t>Feichongshanhougou</t>
  </si>
  <si>
    <t>Feichongshanqiangou</t>
  </si>
  <si>
    <t>Miaoyuliang</t>
  </si>
  <si>
    <t>Xiaotagou</t>
  </si>
  <si>
    <t>Yuanyangwan</t>
  </si>
  <si>
    <t>Yuanyangwan1#</t>
  </si>
  <si>
    <t>Xizhuang1#</t>
  </si>
  <si>
    <t>Gaojiagou1#</t>
  </si>
  <si>
    <t>Mawangou</t>
  </si>
  <si>
    <t>Jinggou</t>
  </si>
  <si>
    <t>Gaojiamao1#</t>
  </si>
  <si>
    <t>Hougou1#</t>
  </si>
  <si>
    <t>Lijiamao1#</t>
  </si>
  <si>
    <t>Shangjiagou</t>
  </si>
  <si>
    <t>Miaohemao1#</t>
  </si>
  <si>
    <t>Gaojvwan</t>
  </si>
  <si>
    <t>Liushumao</t>
  </si>
  <si>
    <t>Fanxiu2#</t>
  </si>
  <si>
    <t>Laopenfanzhenggou1#</t>
  </si>
  <si>
    <t>Wujialaing1#</t>
  </si>
  <si>
    <t>Futa1#</t>
  </si>
  <si>
    <t>Louping1#</t>
  </si>
  <si>
    <t>Dananmaogou1#</t>
  </si>
  <si>
    <t>Qiaoergou1#</t>
  </si>
  <si>
    <t>Longzhuang1#</t>
  </si>
  <si>
    <t>Shegou1#</t>
  </si>
  <si>
    <t>Shegou2#</t>
  </si>
  <si>
    <t>Shegou3$</t>
  </si>
  <si>
    <t>Xiaoyangou</t>
  </si>
  <si>
    <t>Luogou1#</t>
  </si>
  <si>
    <t>Yingzegou1#</t>
  </si>
  <si>
    <t>Wuzhuang</t>
  </si>
  <si>
    <t>Yangzhuang3#</t>
  </si>
  <si>
    <t>Liujiamiaocha1#</t>
  </si>
  <si>
    <t>Aixingzhuang1#</t>
  </si>
  <si>
    <t>Yanggou1#</t>
  </si>
  <si>
    <t>Jingou1#</t>
  </si>
  <si>
    <t>Houmizhigou1#</t>
  </si>
  <si>
    <t>Qingnian1#</t>
  </si>
  <si>
    <t>Futa2#</t>
  </si>
  <si>
    <t>Maoduimian</t>
  </si>
  <si>
    <t>Hougou2#</t>
  </si>
  <si>
    <t>Jinggou2#</t>
  </si>
  <si>
    <t>Feichongshanhougou1#</t>
  </si>
  <si>
    <t>Xiaotagou1#</t>
  </si>
  <si>
    <t>Xiaowan1#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</si>
</sst>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00000_ "/>
    <numFmt numFmtId="178" formatCode="0.000_);[Red]\(0.000\)"/>
  </numFmts>
  <fonts count="32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i/>
      <sz val="12"/>
      <color rgb="FF000000"/>
      <name val="Times New Roman"/>
      <charset val="0"/>
    </font>
    <font>
      <sz val="12"/>
      <color rgb="FF000000"/>
      <name val="Times New Roman"/>
      <charset val="0"/>
    </font>
    <font>
      <i/>
      <sz val="9"/>
      <color rgb="FF000000"/>
      <name val="Times New Roman"/>
      <charset val="0"/>
    </font>
    <font>
      <sz val="10"/>
      <color theme="1"/>
      <name val="Times New Roman"/>
      <charset val="134"/>
    </font>
    <font>
      <b/>
      <sz val="20"/>
      <color theme="1"/>
      <name val="宋体"/>
      <charset val="134"/>
      <scheme val="minor"/>
    </font>
    <font>
      <b/>
      <sz val="12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/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7" fillId="0" borderId="2" xfId="49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177" fontId="8" fillId="0" borderId="2" xfId="0" applyNumberFormat="1" applyFont="1" applyFill="1" applyBorder="1" applyAlignment="1">
      <alignment horizontal="center" vertical="center"/>
    </xf>
    <xf numFmtId="176" fontId="7" fillId="0" borderId="2" xfId="49" applyNumberFormat="1" applyFont="1" applyFill="1" applyBorder="1" applyAlignment="1">
      <alignment horizontal="center" vertical="center" wrapText="1"/>
    </xf>
    <xf numFmtId="176" fontId="8" fillId="0" borderId="2" xfId="0" applyNumberFormat="1" applyFont="1" applyFill="1" applyBorder="1" applyAlignment="1">
      <alignment horizontal="center" vertical="center"/>
    </xf>
    <xf numFmtId="178" fontId="8" fillId="0" borderId="0" xfId="0" applyNumberFormat="1" applyFont="1" applyFill="1" applyAlignment="1">
      <alignment horizontal="center" vertical="center" wrapText="1"/>
    </xf>
    <xf numFmtId="178" fontId="8" fillId="0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178" fontId="8" fillId="0" borderId="2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dxfs count="1"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8"/>
  <sheetViews>
    <sheetView tabSelected="1" workbookViewId="0">
      <pane ySplit="2" topLeftCell="A3" activePane="bottomLeft" state="frozen"/>
      <selection/>
      <selection pane="bottomLeft" activeCell="J6" sqref="J6"/>
    </sheetView>
  </sheetViews>
  <sheetFormatPr defaultColWidth="9" defaultRowHeight="13.2"/>
  <cols>
    <col min="1" max="1" width="7" style="10" customWidth="1"/>
    <col min="2" max="2" width="14.8888888888889" style="10" customWidth="1"/>
    <col min="3" max="3" width="29" style="10" customWidth="1"/>
    <col min="4" max="4" width="14.6666666666667" style="10" customWidth="1"/>
    <col min="5" max="6" width="11.2222222222222" style="10" customWidth="1"/>
    <col min="7" max="7" width="29.7777777777778" style="10" customWidth="1"/>
    <col min="8" max="8" width="17" style="10" customWidth="1"/>
    <col min="9" max="9" width="16.1111111111111" style="10" customWidth="1"/>
    <col min="10" max="10" width="13.6666666666667" style="11" customWidth="1"/>
    <col min="11" max="11" width="11.5555555555556" style="11" customWidth="1"/>
    <col min="12" max="12" width="15.4444444444444" style="11" customWidth="1"/>
    <col min="13" max="13" width="20.2222222222222" style="11" customWidth="1"/>
    <col min="14" max="14" width="15" style="10" customWidth="1"/>
    <col min="15" max="15" width="15.7777777777778" style="10" customWidth="1"/>
    <col min="16" max="16" width="14.5555555555556" style="10" customWidth="1"/>
    <col min="17" max="17" width="16.1111111111111" style="10" customWidth="1"/>
    <col min="18" max="16384" width="9" style="10"/>
  </cols>
  <sheetData>
    <row r="1" ht="51" customHeight="1" spans="1:17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ht="33.6" customHeight="1" spans="1:17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7" t="s">
        <v>10</v>
      </c>
      <c r="K2" s="17" t="s">
        <v>11</v>
      </c>
      <c r="L2" s="17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</row>
    <row r="3" ht="16.2" customHeight="1" spans="1:17">
      <c r="A3" s="14">
        <v>1</v>
      </c>
      <c r="B3" s="14" t="s">
        <v>18</v>
      </c>
      <c r="C3" s="15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6">
        <v>109.8242806</v>
      </c>
      <c r="I3" s="16">
        <v>37.76212222</v>
      </c>
      <c r="J3" s="18">
        <v>1084</v>
      </c>
      <c r="K3" s="18">
        <v>3</v>
      </c>
      <c r="L3" s="18">
        <f>J3-K3/2</f>
        <v>1082.5</v>
      </c>
      <c r="M3" s="19">
        <v>1.803</v>
      </c>
      <c r="N3" s="19">
        <v>4.931</v>
      </c>
      <c r="O3" s="14" t="s">
        <v>24</v>
      </c>
      <c r="P3" s="15">
        <v>396440.6004</v>
      </c>
      <c r="Q3" s="15">
        <v>4180073.2486</v>
      </c>
    </row>
    <row r="4" ht="16.2" customHeight="1" spans="1:17">
      <c r="A4" s="14">
        <v>2</v>
      </c>
      <c r="B4" s="14" t="s">
        <v>18</v>
      </c>
      <c r="C4" s="15" t="s">
        <v>19</v>
      </c>
      <c r="D4" s="14" t="s">
        <v>20</v>
      </c>
      <c r="E4" s="14" t="s">
        <v>25</v>
      </c>
      <c r="F4" s="14" t="s">
        <v>22</v>
      </c>
      <c r="G4" s="14" t="s">
        <v>26</v>
      </c>
      <c r="H4" s="16">
        <v>109.824292153</v>
      </c>
      <c r="I4" s="16">
        <v>37.7709800787</v>
      </c>
      <c r="J4" s="18">
        <v>1107</v>
      </c>
      <c r="K4" s="18">
        <v>2.5</v>
      </c>
      <c r="L4" s="18">
        <f t="shared" ref="L4:L67" si="0">J4-K4/2</f>
        <v>1105.75</v>
      </c>
      <c r="M4" s="20">
        <v>1.603</v>
      </c>
      <c r="N4" s="20">
        <v>2.642</v>
      </c>
      <c r="O4" s="14" t="s">
        <v>24</v>
      </c>
      <c r="P4" s="15">
        <v>396453.9711</v>
      </c>
      <c r="Q4" s="15">
        <v>4181056.0467</v>
      </c>
    </row>
    <row r="5" ht="16.2" customHeight="1" spans="1:17">
      <c r="A5" s="14">
        <v>3</v>
      </c>
      <c r="B5" s="14" t="s">
        <v>18</v>
      </c>
      <c r="C5" s="15" t="s">
        <v>19</v>
      </c>
      <c r="D5" s="14" t="s">
        <v>20</v>
      </c>
      <c r="E5" s="14" t="s">
        <v>27</v>
      </c>
      <c r="F5" s="14" t="s">
        <v>22</v>
      </c>
      <c r="G5" s="14" t="s">
        <v>28</v>
      </c>
      <c r="H5" s="16">
        <v>109.830663586</v>
      </c>
      <c r="I5" s="16">
        <v>37.76065833</v>
      </c>
      <c r="J5" s="18">
        <v>1071.5</v>
      </c>
      <c r="K5" s="18">
        <v>13.5</v>
      </c>
      <c r="L5" s="18">
        <f t="shared" si="0"/>
        <v>1064.75</v>
      </c>
      <c r="M5" s="19">
        <v>12.165</v>
      </c>
      <c r="N5" s="19">
        <v>46.264</v>
      </c>
      <c r="O5" s="14" t="s">
        <v>24</v>
      </c>
      <c r="P5" s="15">
        <v>397000.8144</v>
      </c>
      <c r="Q5" s="15">
        <v>4179903.7779</v>
      </c>
    </row>
    <row r="6" ht="16.2" customHeight="1" spans="1:17">
      <c r="A6" s="14">
        <v>4</v>
      </c>
      <c r="B6" s="14" t="s">
        <v>18</v>
      </c>
      <c r="C6" s="15" t="s">
        <v>19</v>
      </c>
      <c r="D6" s="14" t="s">
        <v>20</v>
      </c>
      <c r="E6" s="14" t="s">
        <v>29</v>
      </c>
      <c r="F6" s="14" t="s">
        <v>30</v>
      </c>
      <c r="G6" s="14" t="s">
        <v>31</v>
      </c>
      <c r="H6" s="16">
        <v>109.814224686</v>
      </c>
      <c r="I6" s="16">
        <v>37.7607551908</v>
      </c>
      <c r="J6" s="18">
        <v>1113.5</v>
      </c>
      <c r="K6" s="18">
        <v>5.5</v>
      </c>
      <c r="L6" s="18">
        <f t="shared" si="0"/>
        <v>1110.75</v>
      </c>
      <c r="M6" s="20">
        <v>20.43</v>
      </c>
      <c r="N6" s="20">
        <v>49.21</v>
      </c>
      <c r="O6" s="14" t="s">
        <v>24</v>
      </c>
      <c r="P6" s="15">
        <v>395552.9037</v>
      </c>
      <c r="Q6" s="15">
        <v>4179932.7518</v>
      </c>
    </row>
    <row r="7" ht="16.2" customHeight="1" spans="1:17">
      <c r="A7" s="14">
        <v>5</v>
      </c>
      <c r="B7" s="14" t="s">
        <v>18</v>
      </c>
      <c r="C7" s="15" t="s">
        <v>19</v>
      </c>
      <c r="D7" s="14" t="s">
        <v>32</v>
      </c>
      <c r="E7" s="14" t="s">
        <v>33</v>
      </c>
      <c r="F7" s="14" t="s">
        <v>22</v>
      </c>
      <c r="G7" s="14" t="s">
        <v>34</v>
      </c>
      <c r="H7" s="16">
        <v>109.862327411</v>
      </c>
      <c r="I7" s="16">
        <v>37.7694684501</v>
      </c>
      <c r="J7" s="18">
        <v>1059</v>
      </c>
      <c r="K7" s="18">
        <v>14</v>
      </c>
      <c r="L7" s="18">
        <f t="shared" si="0"/>
        <v>1052</v>
      </c>
      <c r="M7" s="20">
        <v>27.219</v>
      </c>
      <c r="N7" s="20">
        <v>89.34</v>
      </c>
      <c r="O7" s="14" t="s">
        <v>35</v>
      </c>
      <c r="P7" s="15">
        <v>399801.8557</v>
      </c>
      <c r="Q7" s="15">
        <v>4180846.8981</v>
      </c>
    </row>
    <row r="8" ht="16.2" customHeight="1" spans="1:17">
      <c r="A8" s="14">
        <v>6</v>
      </c>
      <c r="B8" s="14" t="s">
        <v>18</v>
      </c>
      <c r="C8" s="15" t="s">
        <v>19</v>
      </c>
      <c r="D8" s="14" t="s">
        <v>32</v>
      </c>
      <c r="E8" s="14" t="s">
        <v>36</v>
      </c>
      <c r="F8" s="14" t="s">
        <v>22</v>
      </c>
      <c r="G8" s="14" t="s">
        <v>31</v>
      </c>
      <c r="H8" s="16">
        <v>109.848811916</v>
      </c>
      <c r="I8" s="16">
        <v>37.7579923809</v>
      </c>
      <c r="J8" s="18">
        <v>1047.5</v>
      </c>
      <c r="K8" s="18">
        <v>6</v>
      </c>
      <c r="L8" s="18">
        <f t="shared" si="0"/>
        <v>1044.5</v>
      </c>
      <c r="M8" s="20">
        <v>7.609</v>
      </c>
      <c r="N8" s="20">
        <v>17.212</v>
      </c>
      <c r="O8" s="14" t="s">
        <v>24</v>
      </c>
      <c r="P8" s="15">
        <v>398595.7969</v>
      </c>
      <c r="Q8" s="15">
        <v>4179588.1557</v>
      </c>
    </row>
    <row r="9" ht="16.2" customHeight="1" spans="1:17">
      <c r="A9" s="14">
        <v>7</v>
      </c>
      <c r="B9" s="14" t="s">
        <v>18</v>
      </c>
      <c r="C9" s="15" t="s">
        <v>19</v>
      </c>
      <c r="D9" s="14" t="s">
        <v>37</v>
      </c>
      <c r="E9" s="14" t="s">
        <v>38</v>
      </c>
      <c r="F9" s="14" t="s">
        <v>30</v>
      </c>
      <c r="G9" s="14" t="s">
        <v>31</v>
      </c>
      <c r="H9" s="16">
        <v>109.894660052</v>
      </c>
      <c r="I9" s="16">
        <v>37.7805946577</v>
      </c>
      <c r="J9" s="18">
        <v>1061.5</v>
      </c>
      <c r="K9" s="18">
        <v>3</v>
      </c>
      <c r="L9" s="18">
        <f t="shared" si="0"/>
        <v>1060</v>
      </c>
      <c r="M9" s="20">
        <v>0.62</v>
      </c>
      <c r="N9" s="20">
        <v>1.71</v>
      </c>
      <c r="O9" s="14" t="s">
        <v>39</v>
      </c>
      <c r="P9" s="15">
        <v>402664.1664</v>
      </c>
      <c r="Q9" s="15">
        <v>4182047.2394</v>
      </c>
    </row>
    <row r="10" ht="16.2" customHeight="1" spans="1:17">
      <c r="A10" s="14">
        <v>8</v>
      </c>
      <c r="B10" s="14" t="s">
        <v>18</v>
      </c>
      <c r="C10" s="15" t="s">
        <v>19</v>
      </c>
      <c r="D10" s="14" t="s">
        <v>37</v>
      </c>
      <c r="E10" s="14" t="s">
        <v>40</v>
      </c>
      <c r="F10" s="14" t="s">
        <v>30</v>
      </c>
      <c r="G10" s="14" t="s">
        <v>23</v>
      </c>
      <c r="H10" s="16">
        <v>109.892815871</v>
      </c>
      <c r="I10" s="16">
        <v>37.768487378</v>
      </c>
      <c r="J10" s="18">
        <v>1049</v>
      </c>
      <c r="K10" s="18">
        <v>3</v>
      </c>
      <c r="L10" s="18">
        <f t="shared" si="0"/>
        <v>1047.5</v>
      </c>
      <c r="M10" s="20">
        <v>6.507</v>
      </c>
      <c r="N10" s="20">
        <v>19.764</v>
      </c>
      <c r="O10" s="14" t="s">
        <v>39</v>
      </c>
      <c r="P10" s="15">
        <v>402485.8603</v>
      </c>
      <c r="Q10" s="15">
        <v>4180705.8212</v>
      </c>
    </row>
    <row r="11" ht="16.2" customHeight="1" spans="1:17">
      <c r="A11" s="14">
        <v>9</v>
      </c>
      <c r="B11" s="14" t="s">
        <v>18</v>
      </c>
      <c r="C11" s="15" t="s">
        <v>19</v>
      </c>
      <c r="D11" s="14" t="s">
        <v>41</v>
      </c>
      <c r="E11" s="14" t="s">
        <v>42</v>
      </c>
      <c r="F11" s="14" t="s">
        <v>22</v>
      </c>
      <c r="G11" s="14" t="s">
        <v>23</v>
      </c>
      <c r="H11" s="16">
        <v>109.995835271</v>
      </c>
      <c r="I11" s="16">
        <v>37.697751512</v>
      </c>
      <c r="J11" s="18">
        <v>1017</v>
      </c>
      <c r="K11" s="18">
        <v>9</v>
      </c>
      <c r="L11" s="18">
        <f t="shared" si="0"/>
        <v>1012.5</v>
      </c>
      <c r="M11" s="20">
        <v>11.894</v>
      </c>
      <c r="N11" s="20">
        <v>40.085</v>
      </c>
      <c r="O11" s="14" t="s">
        <v>43</v>
      </c>
      <c r="P11" s="15">
        <v>411475.2518</v>
      </c>
      <c r="Q11" s="15">
        <v>4172755.1757</v>
      </c>
    </row>
    <row r="12" ht="16.2" customHeight="1" spans="1:17">
      <c r="A12" s="14">
        <v>10</v>
      </c>
      <c r="B12" s="14" t="s">
        <v>18</v>
      </c>
      <c r="C12" s="15" t="s">
        <v>19</v>
      </c>
      <c r="D12" s="14" t="s">
        <v>41</v>
      </c>
      <c r="E12" s="14" t="s">
        <v>44</v>
      </c>
      <c r="F12" s="14" t="s">
        <v>22</v>
      </c>
      <c r="G12" s="14" t="s">
        <v>23</v>
      </c>
      <c r="H12" s="16">
        <v>110.0082917</v>
      </c>
      <c r="I12" s="16">
        <v>37.68307222</v>
      </c>
      <c r="J12" s="18">
        <v>1001</v>
      </c>
      <c r="K12" s="18">
        <v>15</v>
      </c>
      <c r="L12" s="18">
        <f t="shared" si="0"/>
        <v>993.5</v>
      </c>
      <c r="M12" s="20">
        <v>3.397</v>
      </c>
      <c r="N12" s="20">
        <v>10.287</v>
      </c>
      <c r="O12" s="14" t="s">
        <v>45</v>
      </c>
      <c r="P12" s="15">
        <v>412556.1718</v>
      </c>
      <c r="Q12" s="15">
        <v>4171114.8042</v>
      </c>
    </row>
    <row r="13" ht="16.2" customHeight="1" spans="1:17">
      <c r="A13" s="14">
        <v>11</v>
      </c>
      <c r="B13" s="14" t="s">
        <v>18</v>
      </c>
      <c r="C13" s="15" t="s">
        <v>19</v>
      </c>
      <c r="D13" s="14" t="s">
        <v>41</v>
      </c>
      <c r="E13" s="14" t="s">
        <v>46</v>
      </c>
      <c r="F13" s="14" t="s">
        <v>30</v>
      </c>
      <c r="G13" s="14" t="s">
        <v>23</v>
      </c>
      <c r="H13" s="16">
        <v>110.0175028</v>
      </c>
      <c r="I13" s="16">
        <v>37.68040833</v>
      </c>
      <c r="J13" s="18">
        <v>1006</v>
      </c>
      <c r="K13" s="18">
        <v>3.5</v>
      </c>
      <c r="L13" s="18">
        <f t="shared" si="0"/>
        <v>1004.25</v>
      </c>
      <c r="M13" s="20">
        <v>8.032</v>
      </c>
      <c r="N13" s="20">
        <v>16.872</v>
      </c>
      <c r="O13" s="14" t="s">
        <v>45</v>
      </c>
      <c r="P13" s="15">
        <v>413365.2821</v>
      </c>
      <c r="Q13" s="15">
        <v>4170810.6904</v>
      </c>
    </row>
    <row r="14" ht="16.2" customHeight="1" spans="1:17">
      <c r="A14" s="14">
        <v>12</v>
      </c>
      <c r="B14" s="14" t="s">
        <v>18</v>
      </c>
      <c r="C14" s="15" t="s">
        <v>19</v>
      </c>
      <c r="D14" s="14" t="s">
        <v>41</v>
      </c>
      <c r="E14" s="14" t="s">
        <v>47</v>
      </c>
      <c r="F14" s="14" t="s">
        <v>30</v>
      </c>
      <c r="G14" s="14" t="s">
        <v>23</v>
      </c>
      <c r="H14" s="16">
        <v>110.0126917</v>
      </c>
      <c r="I14" s="16">
        <v>37.68936111</v>
      </c>
      <c r="J14" s="18">
        <v>1012</v>
      </c>
      <c r="K14" s="18">
        <v>3</v>
      </c>
      <c r="L14" s="18">
        <f t="shared" si="0"/>
        <v>1010.5</v>
      </c>
      <c r="M14" s="20">
        <v>7.121</v>
      </c>
      <c r="N14" s="20">
        <v>10.29</v>
      </c>
      <c r="O14" s="14" t="s">
        <v>45</v>
      </c>
      <c r="P14" s="15">
        <v>412951.5026</v>
      </c>
      <c r="Q14" s="15">
        <v>4171808.4624</v>
      </c>
    </row>
    <row r="15" ht="16.2" customHeight="1" spans="1:17">
      <c r="A15" s="14">
        <v>13</v>
      </c>
      <c r="B15" s="14" t="s">
        <v>18</v>
      </c>
      <c r="C15" s="15" t="s">
        <v>19</v>
      </c>
      <c r="D15" s="14" t="s">
        <v>48</v>
      </c>
      <c r="E15" s="14" t="s">
        <v>49</v>
      </c>
      <c r="F15" s="14" t="s">
        <v>22</v>
      </c>
      <c r="G15" s="14" t="s">
        <v>23</v>
      </c>
      <c r="H15" s="16">
        <v>109.9465583</v>
      </c>
      <c r="I15" s="16">
        <v>37.68898889</v>
      </c>
      <c r="J15" s="18">
        <v>943</v>
      </c>
      <c r="K15" s="18">
        <v>2.8</v>
      </c>
      <c r="L15" s="18">
        <f t="shared" si="0"/>
        <v>941.6</v>
      </c>
      <c r="M15" s="20">
        <v>0.251</v>
      </c>
      <c r="N15" s="20">
        <v>5.669</v>
      </c>
      <c r="O15" s="14" t="s">
        <v>50</v>
      </c>
      <c r="P15" s="15">
        <v>407120.0599</v>
      </c>
      <c r="Q15" s="15">
        <v>4171830.6588</v>
      </c>
    </row>
    <row r="16" ht="16.2" customHeight="1" spans="1:17">
      <c r="A16" s="14">
        <v>14</v>
      </c>
      <c r="B16" s="14" t="s">
        <v>18</v>
      </c>
      <c r="C16" s="15" t="s">
        <v>19</v>
      </c>
      <c r="D16" s="14" t="s">
        <v>48</v>
      </c>
      <c r="E16" s="14" t="s">
        <v>51</v>
      </c>
      <c r="F16" s="14" t="s">
        <v>22</v>
      </c>
      <c r="G16" s="14" t="s">
        <v>34</v>
      </c>
      <c r="H16" s="16">
        <v>109.954338208</v>
      </c>
      <c r="I16" s="16">
        <v>37.6913432797</v>
      </c>
      <c r="J16" s="18">
        <v>989</v>
      </c>
      <c r="K16" s="18">
        <v>3.5</v>
      </c>
      <c r="L16" s="18">
        <f t="shared" si="0"/>
        <v>987.25</v>
      </c>
      <c r="M16" s="20">
        <v>0.1167</v>
      </c>
      <c r="N16" s="20">
        <v>0.591</v>
      </c>
      <c r="O16" s="14" t="s">
        <v>50</v>
      </c>
      <c r="P16" s="15">
        <v>407808.9341</v>
      </c>
      <c r="Q16" s="15">
        <v>4172084.1974</v>
      </c>
    </row>
    <row r="17" ht="16.2" customHeight="1" spans="1:17">
      <c r="A17" s="14">
        <v>15</v>
      </c>
      <c r="B17" s="14" t="s">
        <v>18</v>
      </c>
      <c r="C17" s="15" t="s">
        <v>19</v>
      </c>
      <c r="D17" s="14" t="s">
        <v>52</v>
      </c>
      <c r="E17" s="14" t="s">
        <v>53</v>
      </c>
      <c r="F17" s="14" t="s">
        <v>22</v>
      </c>
      <c r="G17" s="14" t="s">
        <v>23</v>
      </c>
      <c r="H17" s="16">
        <v>110.0013306</v>
      </c>
      <c r="I17" s="16">
        <v>37.66092778</v>
      </c>
      <c r="J17" s="18">
        <v>953</v>
      </c>
      <c r="K17" s="18">
        <v>3</v>
      </c>
      <c r="L17" s="18">
        <f t="shared" si="0"/>
        <v>951.5</v>
      </c>
      <c r="M17" s="20">
        <v>8.909</v>
      </c>
      <c r="N17" s="20">
        <v>14.753</v>
      </c>
      <c r="O17" s="14" t="s">
        <v>54</v>
      </c>
      <c r="P17" s="15">
        <v>411916.1869</v>
      </c>
      <c r="Q17" s="15">
        <v>4168664.3923</v>
      </c>
    </row>
    <row r="18" ht="16.2" customHeight="1" spans="1:17">
      <c r="A18" s="14">
        <v>16</v>
      </c>
      <c r="B18" s="14" t="s">
        <v>18</v>
      </c>
      <c r="C18" s="15" t="s">
        <v>19</v>
      </c>
      <c r="D18" s="14" t="s">
        <v>52</v>
      </c>
      <c r="E18" s="14" t="s">
        <v>55</v>
      </c>
      <c r="F18" s="14" t="s">
        <v>22</v>
      </c>
      <c r="G18" s="14" t="s">
        <v>23</v>
      </c>
      <c r="H18" s="16">
        <v>109.997129055</v>
      </c>
      <c r="I18" s="16">
        <v>37.6575727619</v>
      </c>
      <c r="J18" s="18">
        <v>947</v>
      </c>
      <c r="K18" s="18">
        <v>5</v>
      </c>
      <c r="L18" s="18">
        <f t="shared" si="0"/>
        <v>944.5</v>
      </c>
      <c r="M18" s="20">
        <v>5.471</v>
      </c>
      <c r="N18" s="20">
        <v>21.053</v>
      </c>
      <c r="O18" s="14" t="s">
        <v>45</v>
      </c>
      <c r="P18" s="15">
        <v>411541.6149</v>
      </c>
      <c r="Q18" s="15">
        <v>4168296.1084</v>
      </c>
    </row>
    <row r="19" ht="16.2" customHeight="1" spans="1:17">
      <c r="A19" s="14">
        <v>17</v>
      </c>
      <c r="B19" s="14" t="s">
        <v>18</v>
      </c>
      <c r="C19" s="15" t="s">
        <v>19</v>
      </c>
      <c r="D19" s="14" t="s">
        <v>56</v>
      </c>
      <c r="E19" s="14" t="s">
        <v>57</v>
      </c>
      <c r="F19" s="14" t="s">
        <v>22</v>
      </c>
      <c r="G19" s="14" t="s">
        <v>23</v>
      </c>
      <c r="H19" s="16">
        <v>109.936417516</v>
      </c>
      <c r="I19" s="16">
        <v>37.6974334377</v>
      </c>
      <c r="J19" s="18">
        <v>955</v>
      </c>
      <c r="K19" s="18">
        <v>4</v>
      </c>
      <c r="L19" s="18">
        <f t="shared" si="0"/>
        <v>953</v>
      </c>
      <c r="M19" s="20">
        <v>0.349</v>
      </c>
      <c r="N19" s="20">
        <v>1.097</v>
      </c>
      <c r="O19" s="14" t="s">
        <v>58</v>
      </c>
      <c r="P19" s="15">
        <v>406236.5758</v>
      </c>
      <c r="Q19" s="15">
        <v>4172777.6912</v>
      </c>
    </row>
    <row r="20" ht="16.2" customHeight="1" spans="1:17">
      <c r="A20" s="14">
        <v>18</v>
      </c>
      <c r="B20" s="14" t="s">
        <v>18</v>
      </c>
      <c r="C20" s="15" t="s">
        <v>19</v>
      </c>
      <c r="D20" s="14" t="s">
        <v>56</v>
      </c>
      <c r="E20" s="14" t="s">
        <v>59</v>
      </c>
      <c r="F20" s="14" t="s">
        <v>22</v>
      </c>
      <c r="G20" s="14" t="s">
        <v>23</v>
      </c>
      <c r="H20" s="16">
        <v>109.947954809</v>
      </c>
      <c r="I20" s="16">
        <v>37.7260107546</v>
      </c>
      <c r="J20" s="18">
        <v>1013.5</v>
      </c>
      <c r="K20" s="18">
        <v>5.5</v>
      </c>
      <c r="L20" s="18">
        <f t="shared" si="0"/>
        <v>1010.75</v>
      </c>
      <c r="M20" s="20">
        <v>7.53</v>
      </c>
      <c r="N20" s="20">
        <v>16.67</v>
      </c>
      <c r="O20" s="14" t="s">
        <v>58</v>
      </c>
      <c r="P20" s="15">
        <v>407289.3271</v>
      </c>
      <c r="Q20" s="15">
        <v>4175936.8998</v>
      </c>
    </row>
    <row r="21" ht="16.2" customHeight="1" spans="1:17">
      <c r="A21" s="14">
        <v>19</v>
      </c>
      <c r="B21" s="14" t="s">
        <v>18</v>
      </c>
      <c r="C21" s="15" t="s">
        <v>19</v>
      </c>
      <c r="D21" s="14" t="s">
        <v>56</v>
      </c>
      <c r="E21" s="14" t="s">
        <v>60</v>
      </c>
      <c r="F21" s="14" t="s">
        <v>22</v>
      </c>
      <c r="G21" s="14" t="s">
        <v>23</v>
      </c>
      <c r="H21" s="16">
        <v>109.926755575</v>
      </c>
      <c r="I21" s="16">
        <v>37.7104740627</v>
      </c>
      <c r="J21" s="18">
        <v>958.5</v>
      </c>
      <c r="K21" s="18">
        <v>8.5</v>
      </c>
      <c r="L21" s="18">
        <f t="shared" si="0"/>
        <v>954.25</v>
      </c>
      <c r="M21" s="20">
        <v>1.787</v>
      </c>
      <c r="N21" s="20">
        <v>4.786</v>
      </c>
      <c r="O21" s="14" t="s">
        <v>61</v>
      </c>
      <c r="P21" s="15">
        <v>405401.3493</v>
      </c>
      <c r="Q21" s="15">
        <v>4174234.2813</v>
      </c>
    </row>
    <row r="22" ht="16.2" customHeight="1" spans="1:17">
      <c r="A22" s="14">
        <v>20</v>
      </c>
      <c r="B22" s="14" t="s">
        <v>18</v>
      </c>
      <c r="C22" s="15" t="s">
        <v>19</v>
      </c>
      <c r="D22" s="14" t="s">
        <v>56</v>
      </c>
      <c r="E22" s="14" t="s">
        <v>62</v>
      </c>
      <c r="F22" s="14" t="s">
        <v>30</v>
      </c>
      <c r="G22" s="14" t="s">
        <v>23</v>
      </c>
      <c r="H22" s="16">
        <v>109.936823493</v>
      </c>
      <c r="I22" s="16">
        <v>37.72034237</v>
      </c>
      <c r="J22" s="18">
        <v>973.5</v>
      </c>
      <c r="K22" s="18">
        <v>3.5</v>
      </c>
      <c r="L22" s="18">
        <f t="shared" si="0"/>
        <v>971.75</v>
      </c>
      <c r="M22" s="20">
        <v>0.59</v>
      </c>
      <c r="N22" s="20">
        <v>3.37</v>
      </c>
      <c r="O22" s="14" t="s">
        <v>58</v>
      </c>
      <c r="P22" s="15">
        <v>406301.2188</v>
      </c>
      <c r="Q22" s="15">
        <v>4175319.0639</v>
      </c>
    </row>
    <row r="23" ht="16.2" customHeight="1" spans="1:17">
      <c r="A23" s="14">
        <v>21</v>
      </c>
      <c r="B23" s="14" t="s">
        <v>18</v>
      </c>
      <c r="C23" s="15" t="s">
        <v>19</v>
      </c>
      <c r="D23" s="14" t="s">
        <v>56</v>
      </c>
      <c r="E23" s="14" t="s">
        <v>63</v>
      </c>
      <c r="F23" s="14" t="s">
        <v>30</v>
      </c>
      <c r="G23" s="14" t="s">
        <v>23</v>
      </c>
      <c r="H23" s="16">
        <v>109.938550533</v>
      </c>
      <c r="I23" s="16">
        <v>37.7255934363</v>
      </c>
      <c r="J23" s="18">
        <v>998</v>
      </c>
      <c r="K23" s="18">
        <v>10</v>
      </c>
      <c r="L23" s="18">
        <f t="shared" si="0"/>
        <v>993</v>
      </c>
      <c r="M23" s="20">
        <v>25.25</v>
      </c>
      <c r="N23" s="20">
        <v>65.39</v>
      </c>
      <c r="O23" s="14" t="s">
        <v>58</v>
      </c>
      <c r="P23" s="15">
        <v>406460.0336</v>
      </c>
      <c r="Q23" s="15">
        <v>4175899.9517</v>
      </c>
    </row>
    <row r="24" ht="16.2" customHeight="1" spans="1:17">
      <c r="A24" s="14">
        <v>22</v>
      </c>
      <c r="B24" s="14" t="s">
        <v>18</v>
      </c>
      <c r="C24" s="15" t="s">
        <v>19</v>
      </c>
      <c r="D24" s="14" t="s">
        <v>56</v>
      </c>
      <c r="E24" s="14" t="s">
        <v>64</v>
      </c>
      <c r="F24" s="14" t="s">
        <v>30</v>
      </c>
      <c r="G24" s="14" t="s">
        <v>23</v>
      </c>
      <c r="H24" s="16">
        <v>109.933275627</v>
      </c>
      <c r="I24" s="16">
        <v>37.7125156876</v>
      </c>
      <c r="J24" s="18">
        <v>961</v>
      </c>
      <c r="K24" s="18">
        <v>2</v>
      </c>
      <c r="L24" s="18">
        <f t="shared" si="0"/>
        <v>960</v>
      </c>
      <c r="M24" s="20">
        <v>3.61</v>
      </c>
      <c r="N24" s="20">
        <v>6.67</v>
      </c>
      <c r="O24" s="14" t="s">
        <v>58</v>
      </c>
      <c r="P24" s="15">
        <v>405978.6412</v>
      </c>
      <c r="Q24" s="15">
        <v>4174454.2371</v>
      </c>
    </row>
    <row r="25" ht="16.2" customHeight="1" spans="1:17">
      <c r="A25" s="14">
        <v>23</v>
      </c>
      <c r="B25" s="14" t="s">
        <v>18</v>
      </c>
      <c r="C25" s="15" t="s">
        <v>19</v>
      </c>
      <c r="D25" s="14" t="s">
        <v>65</v>
      </c>
      <c r="E25" s="14" t="s">
        <v>66</v>
      </c>
      <c r="F25" s="14" t="s">
        <v>22</v>
      </c>
      <c r="G25" s="14" t="s">
        <v>23</v>
      </c>
      <c r="H25" s="16">
        <v>109.897150881</v>
      </c>
      <c r="I25" s="16">
        <v>37.7052917217</v>
      </c>
      <c r="J25" s="18">
        <v>1019.5</v>
      </c>
      <c r="K25" s="18">
        <v>8</v>
      </c>
      <c r="L25" s="18">
        <f t="shared" si="0"/>
        <v>1015.5</v>
      </c>
      <c r="M25" s="20">
        <v>6.444</v>
      </c>
      <c r="N25" s="20">
        <v>17.751</v>
      </c>
      <c r="O25" s="14" t="s">
        <v>65</v>
      </c>
      <c r="P25" s="15">
        <v>402785.0609</v>
      </c>
      <c r="Q25" s="15">
        <v>4173689.6062</v>
      </c>
    </row>
    <row r="26" ht="16.2" customHeight="1" spans="1:17">
      <c r="A26" s="14">
        <v>24</v>
      </c>
      <c r="B26" s="14" t="s">
        <v>18</v>
      </c>
      <c r="C26" s="15" t="s">
        <v>19</v>
      </c>
      <c r="D26" s="14" t="s">
        <v>65</v>
      </c>
      <c r="E26" s="14" t="s">
        <v>67</v>
      </c>
      <c r="F26" s="14" t="s">
        <v>22</v>
      </c>
      <c r="G26" s="14" t="s">
        <v>23</v>
      </c>
      <c r="H26" s="16">
        <v>109.904397702</v>
      </c>
      <c r="I26" s="16">
        <v>37.7044998011</v>
      </c>
      <c r="J26" s="18">
        <v>1000.8</v>
      </c>
      <c r="K26" s="18">
        <v>5.8</v>
      </c>
      <c r="L26" s="18">
        <f t="shared" si="0"/>
        <v>997.9</v>
      </c>
      <c r="M26" s="20">
        <v>2.325</v>
      </c>
      <c r="N26" s="20">
        <v>11.184</v>
      </c>
      <c r="O26" s="14" t="s">
        <v>65</v>
      </c>
      <c r="P26" s="15">
        <v>403422.8524</v>
      </c>
      <c r="Q26" s="15">
        <v>4173594.2447</v>
      </c>
    </row>
    <row r="27" ht="16.2" customHeight="1" spans="1:17">
      <c r="A27" s="14">
        <v>25</v>
      </c>
      <c r="B27" s="14" t="s">
        <v>18</v>
      </c>
      <c r="C27" s="15" t="s">
        <v>19</v>
      </c>
      <c r="D27" s="14" t="s">
        <v>61</v>
      </c>
      <c r="E27" s="14" t="s">
        <v>68</v>
      </c>
      <c r="F27" s="14" t="s">
        <v>22</v>
      </c>
      <c r="G27" s="14" t="s">
        <v>23</v>
      </c>
      <c r="H27" s="16">
        <v>109.9180639</v>
      </c>
      <c r="I27" s="16">
        <v>37.72088056</v>
      </c>
      <c r="J27" s="18">
        <v>966</v>
      </c>
      <c r="K27" s="18">
        <v>2</v>
      </c>
      <c r="L27" s="18">
        <f t="shared" si="0"/>
        <v>965</v>
      </c>
      <c r="M27" s="20">
        <v>12.849</v>
      </c>
      <c r="N27" s="20">
        <v>15.179</v>
      </c>
      <c r="O27" s="14" t="s">
        <v>61</v>
      </c>
      <c r="P27" s="15">
        <v>404648.5581</v>
      </c>
      <c r="Q27" s="15">
        <v>4175397.7148</v>
      </c>
    </row>
    <row r="28" ht="16.2" customHeight="1" spans="1:17">
      <c r="A28" s="14">
        <v>26</v>
      </c>
      <c r="B28" s="14" t="s">
        <v>18</v>
      </c>
      <c r="C28" s="15" t="s">
        <v>19</v>
      </c>
      <c r="D28" s="14" t="s">
        <v>61</v>
      </c>
      <c r="E28" s="14" t="s">
        <v>69</v>
      </c>
      <c r="F28" s="14" t="s">
        <v>30</v>
      </c>
      <c r="G28" s="14" t="s">
        <v>34</v>
      </c>
      <c r="H28" s="16">
        <v>109.919196982</v>
      </c>
      <c r="I28" s="16">
        <v>37.7151949169</v>
      </c>
      <c r="J28" s="18">
        <v>964.3</v>
      </c>
      <c r="K28" s="18">
        <v>13.3</v>
      </c>
      <c r="L28" s="18">
        <f t="shared" si="0"/>
        <v>957.65</v>
      </c>
      <c r="M28" s="20">
        <v>2.971</v>
      </c>
      <c r="N28" s="20">
        <v>11.402</v>
      </c>
      <c r="O28" s="14" t="s">
        <v>61</v>
      </c>
      <c r="P28" s="15">
        <v>404741.1392</v>
      </c>
      <c r="Q28" s="15">
        <v>4174765.7294</v>
      </c>
    </row>
    <row r="29" ht="16.2" customHeight="1" spans="1:17">
      <c r="A29" s="14">
        <v>27</v>
      </c>
      <c r="B29" s="14" t="s">
        <v>18</v>
      </c>
      <c r="C29" s="15" t="s">
        <v>19</v>
      </c>
      <c r="D29" s="14" t="s">
        <v>61</v>
      </c>
      <c r="E29" s="14" t="s">
        <v>69</v>
      </c>
      <c r="F29" s="14" t="s">
        <v>30</v>
      </c>
      <c r="G29" s="14" t="s">
        <v>34</v>
      </c>
      <c r="H29" s="16">
        <v>109.909010867</v>
      </c>
      <c r="I29" s="16">
        <v>37.7238389389</v>
      </c>
      <c r="J29" s="18">
        <v>982</v>
      </c>
      <c r="K29" s="18">
        <v>5</v>
      </c>
      <c r="L29" s="18">
        <f t="shared" si="0"/>
        <v>979.5</v>
      </c>
      <c r="M29" s="20">
        <v>4.902</v>
      </c>
      <c r="N29" s="20">
        <v>39.399</v>
      </c>
      <c r="O29" s="14" t="s">
        <v>61</v>
      </c>
      <c r="P29" s="15">
        <v>403854.511</v>
      </c>
      <c r="Q29" s="15">
        <v>4175735.2103</v>
      </c>
    </row>
    <row r="30" ht="16.2" customHeight="1" spans="1:17">
      <c r="A30" s="14">
        <v>28</v>
      </c>
      <c r="B30" s="14" t="s">
        <v>18</v>
      </c>
      <c r="C30" s="15" t="s">
        <v>19</v>
      </c>
      <c r="D30" s="14" t="s">
        <v>70</v>
      </c>
      <c r="E30" s="14" t="s">
        <v>71</v>
      </c>
      <c r="F30" s="14" t="s">
        <v>22</v>
      </c>
      <c r="G30" s="14" t="s">
        <v>72</v>
      </c>
      <c r="H30" s="16">
        <v>109.879219363</v>
      </c>
      <c r="I30" s="16">
        <v>37.7220203839</v>
      </c>
      <c r="J30" s="18">
        <v>1009</v>
      </c>
      <c r="K30" s="18">
        <v>3</v>
      </c>
      <c r="L30" s="18">
        <f t="shared" si="0"/>
        <v>1007.5</v>
      </c>
      <c r="M30" s="20">
        <v>5.723</v>
      </c>
      <c r="N30" s="20">
        <v>16.908</v>
      </c>
      <c r="O30" s="14" t="s">
        <v>61</v>
      </c>
      <c r="P30" s="15">
        <v>401226.579</v>
      </c>
      <c r="Q30" s="15">
        <v>4175564.4479</v>
      </c>
    </row>
    <row r="31" ht="16.2" customHeight="1" spans="1:17">
      <c r="A31" s="14">
        <v>29</v>
      </c>
      <c r="B31" s="14" t="s">
        <v>18</v>
      </c>
      <c r="C31" s="15" t="s">
        <v>19</v>
      </c>
      <c r="D31" s="14" t="s">
        <v>70</v>
      </c>
      <c r="E31" s="14" t="s">
        <v>73</v>
      </c>
      <c r="F31" s="14" t="s">
        <v>30</v>
      </c>
      <c r="G31" s="14" t="s">
        <v>23</v>
      </c>
      <c r="H31" s="16">
        <v>109.867671207</v>
      </c>
      <c r="I31" s="16">
        <v>37.7196652833</v>
      </c>
      <c r="J31" s="18">
        <v>1040.3</v>
      </c>
      <c r="K31" s="18">
        <v>2.3</v>
      </c>
      <c r="L31" s="18">
        <f t="shared" si="0"/>
        <v>1039.15</v>
      </c>
      <c r="M31" s="20">
        <v>2.045</v>
      </c>
      <c r="N31" s="20">
        <v>4.803</v>
      </c>
      <c r="O31" s="14" t="s">
        <v>61</v>
      </c>
      <c r="P31" s="15">
        <v>400205.6567</v>
      </c>
      <c r="Q31" s="15">
        <v>4175315.3892</v>
      </c>
    </row>
    <row r="32" ht="16.2" customHeight="1" spans="1:17">
      <c r="A32" s="14">
        <v>30</v>
      </c>
      <c r="B32" s="14" t="s">
        <v>18</v>
      </c>
      <c r="C32" s="15" t="s">
        <v>19</v>
      </c>
      <c r="D32" s="14" t="s">
        <v>74</v>
      </c>
      <c r="E32" s="14" t="s">
        <v>75</v>
      </c>
      <c r="F32" s="14" t="s">
        <v>22</v>
      </c>
      <c r="G32" s="14" t="s">
        <v>34</v>
      </c>
      <c r="H32" s="16">
        <v>109.911086607</v>
      </c>
      <c r="I32" s="16">
        <v>37.664246655</v>
      </c>
      <c r="J32" s="18">
        <v>1013</v>
      </c>
      <c r="K32" s="18">
        <v>17</v>
      </c>
      <c r="L32" s="18">
        <f t="shared" si="0"/>
        <v>1004.5</v>
      </c>
      <c r="M32" s="20">
        <v>10.335</v>
      </c>
      <c r="N32" s="20">
        <v>42.628</v>
      </c>
      <c r="O32" s="14" t="s">
        <v>76</v>
      </c>
      <c r="P32" s="15">
        <v>403960.6023</v>
      </c>
      <c r="Q32" s="15">
        <v>4169121.2332</v>
      </c>
    </row>
    <row r="33" ht="16.2" customHeight="1" spans="1:17">
      <c r="A33" s="14">
        <v>31</v>
      </c>
      <c r="B33" s="14" t="s">
        <v>18</v>
      </c>
      <c r="C33" s="15" t="s">
        <v>19</v>
      </c>
      <c r="D33" s="14" t="s">
        <v>74</v>
      </c>
      <c r="E33" s="14" t="s">
        <v>77</v>
      </c>
      <c r="F33" s="14" t="s">
        <v>22</v>
      </c>
      <c r="G33" s="14" t="s">
        <v>23</v>
      </c>
      <c r="H33" s="16">
        <v>109.921045355</v>
      </c>
      <c r="I33" s="16">
        <v>37.659386343</v>
      </c>
      <c r="J33" s="18">
        <v>980</v>
      </c>
      <c r="K33" s="18">
        <v>1.5</v>
      </c>
      <c r="L33" s="18">
        <f t="shared" si="0"/>
        <v>979.25</v>
      </c>
      <c r="M33" s="20">
        <v>0.89</v>
      </c>
      <c r="N33" s="20">
        <v>1.67</v>
      </c>
      <c r="O33" s="14" t="s">
        <v>76</v>
      </c>
      <c r="P33" s="15">
        <v>404832.7599</v>
      </c>
      <c r="Q33" s="15">
        <v>4168571.8232</v>
      </c>
    </row>
    <row r="34" ht="16.2" customHeight="1" spans="1:17">
      <c r="A34" s="14">
        <v>32</v>
      </c>
      <c r="B34" s="14" t="s">
        <v>18</v>
      </c>
      <c r="C34" s="15" t="s">
        <v>19</v>
      </c>
      <c r="D34" s="14" t="s">
        <v>74</v>
      </c>
      <c r="E34" s="14" t="s">
        <v>78</v>
      </c>
      <c r="F34" s="14" t="s">
        <v>22</v>
      </c>
      <c r="G34" s="14" t="s">
        <v>23</v>
      </c>
      <c r="H34" s="16">
        <v>109.912773343</v>
      </c>
      <c r="I34" s="16">
        <v>37.6689313962</v>
      </c>
      <c r="J34" s="18">
        <v>1001</v>
      </c>
      <c r="K34" s="18">
        <v>4</v>
      </c>
      <c r="L34" s="18">
        <f t="shared" si="0"/>
        <v>999</v>
      </c>
      <c r="M34" s="20">
        <v>0.543</v>
      </c>
      <c r="N34" s="20">
        <v>1.675</v>
      </c>
      <c r="O34" s="14" t="s">
        <v>76</v>
      </c>
      <c r="P34" s="15">
        <v>404115.4004</v>
      </c>
      <c r="Q34" s="15">
        <v>4169639.2829</v>
      </c>
    </row>
    <row r="35" ht="16.2" customHeight="1" spans="1:17">
      <c r="A35" s="14">
        <v>33</v>
      </c>
      <c r="B35" s="14" t="s">
        <v>18</v>
      </c>
      <c r="C35" s="15" t="s">
        <v>19</v>
      </c>
      <c r="D35" s="14" t="s">
        <v>74</v>
      </c>
      <c r="E35" s="14" t="s">
        <v>79</v>
      </c>
      <c r="F35" s="14" t="s">
        <v>30</v>
      </c>
      <c r="G35" s="14" t="s">
        <v>23</v>
      </c>
      <c r="H35" s="16">
        <v>109.927195072</v>
      </c>
      <c r="I35" s="16">
        <v>37.6555590371</v>
      </c>
      <c r="J35" s="21">
        <v>983</v>
      </c>
      <c r="K35" s="21">
        <v>5</v>
      </c>
      <c r="L35" s="18">
        <f t="shared" si="0"/>
        <v>980.5</v>
      </c>
      <c r="M35" s="22">
        <v>11.356</v>
      </c>
      <c r="N35" s="20">
        <v>30.057</v>
      </c>
      <c r="O35" s="14" t="s">
        <v>76</v>
      </c>
      <c r="P35" s="15">
        <v>405370.3427</v>
      </c>
      <c r="Q35" s="15">
        <v>4168140.9575</v>
      </c>
    </row>
    <row r="36" ht="16.2" customHeight="1" spans="1:17">
      <c r="A36" s="14">
        <v>34</v>
      </c>
      <c r="B36" s="14" t="s">
        <v>18</v>
      </c>
      <c r="C36" s="15" t="s">
        <v>19</v>
      </c>
      <c r="D36" s="14" t="s">
        <v>74</v>
      </c>
      <c r="E36" s="14" t="s">
        <v>80</v>
      </c>
      <c r="F36" s="14" t="s">
        <v>30</v>
      </c>
      <c r="G36" s="14" t="s">
        <v>23</v>
      </c>
      <c r="H36" s="16">
        <v>109.923373892</v>
      </c>
      <c r="I36" s="16">
        <v>37.6618232128</v>
      </c>
      <c r="J36" s="18">
        <v>974.6</v>
      </c>
      <c r="K36" s="18">
        <v>3.6</v>
      </c>
      <c r="L36" s="18">
        <f t="shared" si="0"/>
        <v>972.8</v>
      </c>
      <c r="M36" s="20">
        <v>1.254</v>
      </c>
      <c r="N36" s="20">
        <v>7.401</v>
      </c>
      <c r="O36" s="14" t="s">
        <v>76</v>
      </c>
      <c r="P36" s="15">
        <v>405041.2549</v>
      </c>
      <c r="Q36" s="15">
        <v>4168839.8348</v>
      </c>
    </row>
    <row r="37" ht="16.2" customHeight="1" spans="1:17">
      <c r="A37" s="14">
        <v>35</v>
      </c>
      <c r="B37" s="14" t="s">
        <v>18</v>
      </c>
      <c r="C37" s="15" t="s">
        <v>19</v>
      </c>
      <c r="D37" s="14" t="s">
        <v>81</v>
      </c>
      <c r="E37" s="14" t="s">
        <v>82</v>
      </c>
      <c r="F37" s="14" t="s">
        <v>22</v>
      </c>
      <c r="G37" s="14" t="s">
        <v>34</v>
      </c>
      <c r="H37" s="16">
        <v>109.987103993</v>
      </c>
      <c r="I37" s="16">
        <v>37.6796634876</v>
      </c>
      <c r="J37" s="18">
        <v>988</v>
      </c>
      <c r="K37" s="18">
        <v>7.5</v>
      </c>
      <c r="L37" s="18">
        <f t="shared" si="0"/>
        <v>984.25</v>
      </c>
      <c r="M37" s="20">
        <v>1.659</v>
      </c>
      <c r="N37" s="20">
        <v>5.322</v>
      </c>
      <c r="O37" s="14" t="s">
        <v>43</v>
      </c>
      <c r="P37" s="15">
        <v>410683.8103</v>
      </c>
      <c r="Q37" s="15">
        <v>4170756.5844</v>
      </c>
    </row>
    <row r="38" ht="16.2" customHeight="1" spans="1:17">
      <c r="A38" s="14">
        <v>36</v>
      </c>
      <c r="B38" s="14" t="s">
        <v>18</v>
      </c>
      <c r="C38" s="15" t="s">
        <v>19</v>
      </c>
      <c r="D38" s="14" t="s">
        <v>81</v>
      </c>
      <c r="E38" s="14" t="s">
        <v>83</v>
      </c>
      <c r="F38" s="14" t="s">
        <v>22</v>
      </c>
      <c r="G38" s="14" t="s">
        <v>34</v>
      </c>
      <c r="H38" s="16">
        <v>109.987663837</v>
      </c>
      <c r="I38" s="16">
        <v>37.6923647888</v>
      </c>
      <c r="J38" s="18">
        <v>980</v>
      </c>
      <c r="K38" s="18">
        <v>14</v>
      </c>
      <c r="L38" s="18">
        <f t="shared" si="0"/>
        <v>973</v>
      </c>
      <c r="M38" s="20">
        <v>8.214</v>
      </c>
      <c r="N38" s="20">
        <v>31.268</v>
      </c>
      <c r="O38" s="14" t="s">
        <v>43</v>
      </c>
      <c r="P38" s="15">
        <v>410748.4012</v>
      </c>
      <c r="Q38" s="15">
        <v>4172165.2676</v>
      </c>
    </row>
    <row r="39" ht="16.2" customHeight="1" spans="1:17">
      <c r="A39" s="14">
        <v>37</v>
      </c>
      <c r="B39" s="14" t="s">
        <v>18</v>
      </c>
      <c r="C39" s="15" t="s">
        <v>19</v>
      </c>
      <c r="D39" s="14" t="s">
        <v>81</v>
      </c>
      <c r="E39" s="14" t="s">
        <v>84</v>
      </c>
      <c r="F39" s="14" t="s">
        <v>22</v>
      </c>
      <c r="G39" s="14" t="s">
        <v>31</v>
      </c>
      <c r="H39" s="16">
        <v>109.983949027</v>
      </c>
      <c r="I39" s="16">
        <v>37.6890725958</v>
      </c>
      <c r="J39" s="18">
        <v>989</v>
      </c>
      <c r="K39" s="18">
        <v>9</v>
      </c>
      <c r="L39" s="18">
        <f t="shared" si="0"/>
        <v>984.5</v>
      </c>
      <c r="M39" s="20">
        <v>1.968</v>
      </c>
      <c r="N39" s="20">
        <v>6.644</v>
      </c>
      <c r="O39" s="14" t="s">
        <v>43</v>
      </c>
      <c r="P39" s="15">
        <v>410416.9193</v>
      </c>
      <c r="Q39" s="15">
        <v>4171803.5416</v>
      </c>
    </row>
    <row r="40" ht="16.2" customHeight="1" spans="1:17">
      <c r="A40" s="14">
        <v>38</v>
      </c>
      <c r="B40" s="14" t="s">
        <v>18</v>
      </c>
      <c r="C40" s="15" t="s">
        <v>19</v>
      </c>
      <c r="D40" s="14" t="s">
        <v>81</v>
      </c>
      <c r="E40" s="14" t="s">
        <v>85</v>
      </c>
      <c r="F40" s="14" t="s">
        <v>22</v>
      </c>
      <c r="G40" s="14" t="s">
        <v>34</v>
      </c>
      <c r="H40" s="16">
        <v>109.985542516</v>
      </c>
      <c r="I40" s="16">
        <v>37.6995929243</v>
      </c>
      <c r="J40" s="18">
        <v>1010.5</v>
      </c>
      <c r="K40" s="18">
        <v>5.5</v>
      </c>
      <c r="L40" s="18">
        <f t="shared" si="0"/>
        <v>1007.75</v>
      </c>
      <c r="M40" s="20">
        <v>6.312</v>
      </c>
      <c r="N40" s="20">
        <v>17.25</v>
      </c>
      <c r="O40" s="14" t="s">
        <v>43</v>
      </c>
      <c r="P40" s="15">
        <v>410570.0555</v>
      </c>
      <c r="Q40" s="15">
        <v>4172969.2576</v>
      </c>
    </row>
    <row r="41" ht="16.2" customHeight="1" spans="1:17">
      <c r="A41" s="14">
        <v>39</v>
      </c>
      <c r="B41" s="14" t="s">
        <v>18</v>
      </c>
      <c r="C41" s="15" t="s">
        <v>19</v>
      </c>
      <c r="D41" s="14" t="s">
        <v>81</v>
      </c>
      <c r="E41" s="14" t="s">
        <v>86</v>
      </c>
      <c r="F41" s="14" t="s">
        <v>22</v>
      </c>
      <c r="G41" s="14" t="s">
        <v>26</v>
      </c>
      <c r="H41" s="16">
        <v>109.988376535</v>
      </c>
      <c r="I41" s="16">
        <v>37.6974393081</v>
      </c>
      <c r="J41" s="18">
        <v>989.5</v>
      </c>
      <c r="K41" s="18">
        <v>5</v>
      </c>
      <c r="L41" s="18">
        <f t="shared" si="0"/>
        <v>987</v>
      </c>
      <c r="M41" s="20">
        <v>3.004</v>
      </c>
      <c r="N41" s="20">
        <v>6.964</v>
      </c>
      <c r="O41" s="14" t="s">
        <v>43</v>
      </c>
      <c r="P41" s="15">
        <v>410817.3162</v>
      </c>
      <c r="Q41" s="15">
        <v>4172727.6105</v>
      </c>
    </row>
    <row r="42" ht="16.2" customHeight="1" spans="1:17">
      <c r="A42" s="14">
        <v>40</v>
      </c>
      <c r="B42" s="14" t="s">
        <v>18</v>
      </c>
      <c r="C42" s="15" t="s">
        <v>19</v>
      </c>
      <c r="D42" s="14" t="s">
        <v>81</v>
      </c>
      <c r="E42" s="14" t="s">
        <v>87</v>
      </c>
      <c r="F42" s="14" t="s">
        <v>30</v>
      </c>
      <c r="G42" s="14" t="s">
        <v>31</v>
      </c>
      <c r="H42" s="16">
        <v>109.990204257</v>
      </c>
      <c r="I42" s="16">
        <v>37.686445858</v>
      </c>
      <c r="J42" s="18">
        <v>999</v>
      </c>
      <c r="K42" s="18">
        <v>10</v>
      </c>
      <c r="L42" s="18">
        <f t="shared" si="0"/>
        <v>994</v>
      </c>
      <c r="M42" s="20">
        <v>5.963</v>
      </c>
      <c r="N42" s="20">
        <v>18.331</v>
      </c>
      <c r="O42" s="14" t="s">
        <v>43</v>
      </c>
      <c r="P42" s="15">
        <v>410965.3039</v>
      </c>
      <c r="Q42" s="15">
        <v>4171506.1418</v>
      </c>
    </row>
    <row r="43" ht="16.2" customHeight="1" spans="1:17">
      <c r="A43" s="14">
        <v>41</v>
      </c>
      <c r="B43" s="14" t="s">
        <v>18</v>
      </c>
      <c r="C43" s="15" t="s">
        <v>19</v>
      </c>
      <c r="D43" s="14" t="s">
        <v>81</v>
      </c>
      <c r="E43" s="14" t="s">
        <v>88</v>
      </c>
      <c r="F43" s="14" t="s">
        <v>30</v>
      </c>
      <c r="G43" s="14" t="s">
        <v>34</v>
      </c>
      <c r="H43" s="16">
        <v>109.989593992</v>
      </c>
      <c r="I43" s="16">
        <v>37.7026689906</v>
      </c>
      <c r="J43" s="18">
        <v>1012.5</v>
      </c>
      <c r="K43" s="18">
        <v>18.5</v>
      </c>
      <c r="L43" s="18">
        <f t="shared" si="0"/>
        <v>1003.25</v>
      </c>
      <c r="M43" s="20">
        <v>15.842</v>
      </c>
      <c r="N43" s="20">
        <v>107.254</v>
      </c>
      <c r="O43" s="14" t="s">
        <v>43</v>
      </c>
      <c r="P43" s="15">
        <v>410930.9057</v>
      </c>
      <c r="Q43" s="15">
        <v>4173306.6898</v>
      </c>
    </row>
    <row r="44" ht="16.2" customHeight="1" spans="1:17">
      <c r="A44" s="14">
        <v>42</v>
      </c>
      <c r="B44" s="14" t="s">
        <v>18</v>
      </c>
      <c r="C44" s="15" t="s">
        <v>19</v>
      </c>
      <c r="D44" s="14" t="s">
        <v>89</v>
      </c>
      <c r="E44" s="14" t="s">
        <v>90</v>
      </c>
      <c r="F44" s="14" t="s">
        <v>22</v>
      </c>
      <c r="G44" s="14" t="s">
        <v>23</v>
      </c>
      <c r="H44" s="16">
        <v>109.905794111</v>
      </c>
      <c r="I44" s="16">
        <v>37.7470178929</v>
      </c>
      <c r="J44" s="18">
        <v>1018.2</v>
      </c>
      <c r="K44" s="18">
        <v>3.2</v>
      </c>
      <c r="L44" s="18">
        <f t="shared" si="0"/>
        <v>1016.6</v>
      </c>
      <c r="M44" s="20">
        <v>0.325</v>
      </c>
      <c r="N44" s="20">
        <v>0.93</v>
      </c>
      <c r="O44" s="14" t="s">
        <v>91</v>
      </c>
      <c r="P44" s="15">
        <v>403601.0818</v>
      </c>
      <c r="Q44" s="15">
        <v>4178310.2745</v>
      </c>
    </row>
    <row r="45" ht="16.2" customHeight="1" spans="1:17">
      <c r="A45" s="14">
        <v>43</v>
      </c>
      <c r="B45" s="14" t="s">
        <v>18</v>
      </c>
      <c r="C45" s="15" t="s">
        <v>19</v>
      </c>
      <c r="D45" s="14" t="s">
        <v>89</v>
      </c>
      <c r="E45" s="14" t="s">
        <v>92</v>
      </c>
      <c r="F45" s="14" t="s">
        <v>22</v>
      </c>
      <c r="G45" s="14" t="s">
        <v>23</v>
      </c>
      <c r="H45" s="16">
        <v>109.9103222</v>
      </c>
      <c r="I45" s="16">
        <v>37.74843333</v>
      </c>
      <c r="J45" s="18">
        <v>1047</v>
      </c>
      <c r="K45" s="18">
        <v>3.5</v>
      </c>
      <c r="L45" s="18">
        <f t="shared" si="0"/>
        <v>1045.25</v>
      </c>
      <c r="M45" s="20">
        <v>1.641</v>
      </c>
      <c r="N45" s="19">
        <v>3.633</v>
      </c>
      <c r="O45" s="14" t="s">
        <v>91</v>
      </c>
      <c r="P45" s="15">
        <v>404001.8448</v>
      </c>
      <c r="Q45" s="15">
        <v>4178462.6658</v>
      </c>
    </row>
    <row r="46" ht="16.2" customHeight="1" spans="1:17">
      <c r="A46" s="14">
        <v>44</v>
      </c>
      <c r="B46" s="14" t="s">
        <v>18</v>
      </c>
      <c r="C46" s="15" t="s">
        <v>19</v>
      </c>
      <c r="D46" s="14" t="s">
        <v>89</v>
      </c>
      <c r="E46" s="14" t="s">
        <v>93</v>
      </c>
      <c r="F46" s="14" t="s">
        <v>30</v>
      </c>
      <c r="G46" s="14" t="s">
        <v>23</v>
      </c>
      <c r="H46" s="16">
        <v>109.903559546</v>
      </c>
      <c r="I46" s="16">
        <v>37.7337913791</v>
      </c>
      <c r="J46" s="21">
        <v>985</v>
      </c>
      <c r="K46" s="21">
        <v>3</v>
      </c>
      <c r="L46" s="18">
        <f t="shared" si="0"/>
        <v>983.5</v>
      </c>
      <c r="M46" s="22">
        <v>28.702</v>
      </c>
      <c r="N46" s="20">
        <v>43.156</v>
      </c>
      <c r="O46" s="14" t="s">
        <v>91</v>
      </c>
      <c r="P46" s="15">
        <v>403387.0205</v>
      </c>
      <c r="Q46" s="15">
        <v>4176845.0664</v>
      </c>
    </row>
    <row r="47" ht="16.2" customHeight="1" spans="1:17">
      <c r="A47" s="14">
        <v>45</v>
      </c>
      <c r="B47" s="14" t="s">
        <v>18</v>
      </c>
      <c r="C47" s="15" t="s">
        <v>19</v>
      </c>
      <c r="D47" s="14" t="s">
        <v>89</v>
      </c>
      <c r="E47" s="14" t="s">
        <v>94</v>
      </c>
      <c r="F47" s="14" t="s">
        <v>30</v>
      </c>
      <c r="G47" s="14" t="s">
        <v>28</v>
      </c>
      <c r="H47" s="16">
        <v>109.894362807</v>
      </c>
      <c r="I47" s="16">
        <v>37.7517245121</v>
      </c>
      <c r="J47" s="18">
        <v>1021</v>
      </c>
      <c r="K47" s="18">
        <v>21</v>
      </c>
      <c r="L47" s="18">
        <f t="shared" si="0"/>
        <v>1010.5</v>
      </c>
      <c r="M47" s="20">
        <v>26.18</v>
      </c>
      <c r="N47" s="20">
        <v>200.481</v>
      </c>
      <c r="O47" s="14" t="s">
        <v>39</v>
      </c>
      <c r="P47" s="15">
        <v>402600.129</v>
      </c>
      <c r="Q47" s="15">
        <v>4178844.3233</v>
      </c>
    </row>
    <row r="48" ht="16.2" customHeight="1" spans="1:17">
      <c r="A48" s="14">
        <v>46</v>
      </c>
      <c r="B48" s="14" t="s">
        <v>18</v>
      </c>
      <c r="C48" s="15" t="s">
        <v>19</v>
      </c>
      <c r="D48" s="14" t="s">
        <v>95</v>
      </c>
      <c r="E48" s="14" t="s">
        <v>96</v>
      </c>
      <c r="F48" s="14" t="s">
        <v>22</v>
      </c>
      <c r="G48" s="14" t="s">
        <v>23</v>
      </c>
      <c r="H48" s="16">
        <v>109.8328306</v>
      </c>
      <c r="I48" s="16">
        <v>37.75806667</v>
      </c>
      <c r="J48" s="18">
        <v>1077.5</v>
      </c>
      <c r="K48" s="18">
        <v>6</v>
      </c>
      <c r="L48" s="18">
        <f t="shared" si="0"/>
        <v>1074.5</v>
      </c>
      <c r="M48" s="20">
        <v>2.776</v>
      </c>
      <c r="N48" s="20">
        <v>9.605</v>
      </c>
      <c r="O48" s="14" t="s">
        <v>24</v>
      </c>
      <c r="P48" s="15">
        <v>397188.1117</v>
      </c>
      <c r="Q48" s="15">
        <v>4179613.8408</v>
      </c>
    </row>
    <row r="49" ht="16.2" customHeight="1" spans="1:17">
      <c r="A49" s="14">
        <v>47</v>
      </c>
      <c r="B49" s="14" t="s">
        <v>18</v>
      </c>
      <c r="C49" s="15" t="s">
        <v>19</v>
      </c>
      <c r="D49" s="14" t="s">
        <v>95</v>
      </c>
      <c r="E49" s="14" t="s">
        <v>97</v>
      </c>
      <c r="F49" s="14" t="s">
        <v>22</v>
      </c>
      <c r="G49" s="14" t="s">
        <v>34</v>
      </c>
      <c r="H49" s="16">
        <v>109.814758373</v>
      </c>
      <c r="I49" s="16">
        <v>37.7326004341</v>
      </c>
      <c r="J49" s="18">
        <v>1092.5</v>
      </c>
      <c r="K49" s="18">
        <v>9.3</v>
      </c>
      <c r="L49" s="18">
        <f t="shared" si="0"/>
        <v>1087.85</v>
      </c>
      <c r="M49" s="20">
        <v>17.112</v>
      </c>
      <c r="N49" s="20">
        <v>52.734</v>
      </c>
      <c r="O49" s="14" t="s">
        <v>98</v>
      </c>
      <c r="P49" s="15">
        <v>395560.3493</v>
      </c>
      <c r="Q49" s="15">
        <v>4176808.293</v>
      </c>
    </row>
    <row r="50" ht="16.2" customHeight="1" spans="1:17">
      <c r="A50" s="14">
        <v>48</v>
      </c>
      <c r="B50" s="14" t="s">
        <v>18</v>
      </c>
      <c r="C50" s="15" t="s">
        <v>19</v>
      </c>
      <c r="D50" s="14" t="s">
        <v>95</v>
      </c>
      <c r="E50" s="14" t="s">
        <v>99</v>
      </c>
      <c r="F50" s="14" t="s">
        <v>22</v>
      </c>
      <c r="G50" s="14" t="s">
        <v>23</v>
      </c>
      <c r="H50" s="16">
        <v>109.83141353</v>
      </c>
      <c r="I50" s="16">
        <v>37.7387356431</v>
      </c>
      <c r="J50" s="18">
        <v>1058</v>
      </c>
      <c r="K50" s="18">
        <v>5.5</v>
      </c>
      <c r="L50" s="18">
        <f t="shared" si="0"/>
        <v>1055.25</v>
      </c>
      <c r="M50" s="20">
        <v>4.782</v>
      </c>
      <c r="N50" s="20">
        <v>17.144</v>
      </c>
      <c r="O50" s="14" t="s">
        <v>98</v>
      </c>
      <c r="P50" s="15">
        <v>397036.498</v>
      </c>
      <c r="Q50" s="15">
        <v>4177470.5605</v>
      </c>
    </row>
    <row r="51" ht="16.2" customHeight="1" spans="1:17">
      <c r="A51" s="14">
        <v>49</v>
      </c>
      <c r="B51" s="14" t="s">
        <v>18</v>
      </c>
      <c r="C51" s="15" t="s">
        <v>19</v>
      </c>
      <c r="D51" s="14" t="s">
        <v>95</v>
      </c>
      <c r="E51" s="14" t="s">
        <v>100</v>
      </c>
      <c r="F51" s="14" t="s">
        <v>22</v>
      </c>
      <c r="G51" s="14" t="s">
        <v>26</v>
      </c>
      <c r="H51" s="16">
        <v>109.8336389</v>
      </c>
      <c r="I51" s="16">
        <v>37.74182778</v>
      </c>
      <c r="J51" s="18">
        <v>1049.5</v>
      </c>
      <c r="K51" s="18">
        <v>2</v>
      </c>
      <c r="L51" s="18">
        <f t="shared" si="0"/>
        <v>1048.5</v>
      </c>
      <c r="M51" s="20">
        <v>0.096</v>
      </c>
      <c r="N51" s="20">
        <v>0.241</v>
      </c>
      <c r="O51" s="14" t="s">
        <v>98</v>
      </c>
      <c r="P51" s="15">
        <v>397236.8564</v>
      </c>
      <c r="Q51" s="15">
        <v>4177811.1965</v>
      </c>
    </row>
    <row r="52" ht="16.2" customHeight="1" spans="1:17">
      <c r="A52" s="14">
        <v>50</v>
      </c>
      <c r="B52" s="14" t="s">
        <v>18</v>
      </c>
      <c r="C52" s="15" t="s">
        <v>19</v>
      </c>
      <c r="D52" s="14" t="s">
        <v>95</v>
      </c>
      <c r="E52" s="14" t="s">
        <v>101</v>
      </c>
      <c r="F52" s="14" t="s">
        <v>30</v>
      </c>
      <c r="G52" s="14" t="s">
        <v>23</v>
      </c>
      <c r="H52" s="16">
        <v>109.829822978</v>
      </c>
      <c r="I52" s="16">
        <v>37.7397149877</v>
      </c>
      <c r="J52" s="18">
        <v>1055</v>
      </c>
      <c r="K52" s="18">
        <v>14</v>
      </c>
      <c r="L52" s="18">
        <f t="shared" si="0"/>
        <v>1048</v>
      </c>
      <c r="M52" s="20">
        <v>25.906</v>
      </c>
      <c r="N52" s="20">
        <v>83.22</v>
      </c>
      <c r="O52" s="14" t="s">
        <v>98</v>
      </c>
      <c r="P52" s="15">
        <v>396897.709</v>
      </c>
      <c r="Q52" s="15">
        <v>4177580.9727</v>
      </c>
    </row>
    <row r="53" ht="16.2" customHeight="1" spans="1:17">
      <c r="A53" s="14">
        <v>51</v>
      </c>
      <c r="B53" s="14" t="s">
        <v>18</v>
      </c>
      <c r="C53" s="15" t="s">
        <v>19</v>
      </c>
      <c r="D53" s="14" t="s">
        <v>102</v>
      </c>
      <c r="E53" s="14" t="s">
        <v>103</v>
      </c>
      <c r="F53" s="14" t="s">
        <v>22</v>
      </c>
      <c r="G53" s="14" t="s">
        <v>23</v>
      </c>
      <c r="H53" s="16">
        <v>109.898463713</v>
      </c>
      <c r="I53" s="16">
        <v>37.6833979518</v>
      </c>
      <c r="J53" s="18">
        <v>995.5</v>
      </c>
      <c r="K53" s="18">
        <v>5.5</v>
      </c>
      <c r="L53" s="18">
        <f t="shared" si="0"/>
        <v>992.75</v>
      </c>
      <c r="M53" s="20">
        <v>5.016</v>
      </c>
      <c r="N53" s="20">
        <v>15.191</v>
      </c>
      <c r="O53" s="14" t="s">
        <v>102</v>
      </c>
      <c r="P53" s="15">
        <v>402872.2302</v>
      </c>
      <c r="Q53" s="15">
        <v>4171259.0972</v>
      </c>
    </row>
    <row r="54" ht="16.2" customHeight="1" spans="1:17">
      <c r="A54" s="14">
        <v>52</v>
      </c>
      <c r="B54" s="14" t="s">
        <v>18</v>
      </c>
      <c r="C54" s="15" t="s">
        <v>19</v>
      </c>
      <c r="D54" s="14" t="s">
        <v>104</v>
      </c>
      <c r="E54" s="14" t="s">
        <v>105</v>
      </c>
      <c r="F54" s="14" t="s">
        <v>22</v>
      </c>
      <c r="G54" s="14" t="s">
        <v>34</v>
      </c>
      <c r="H54" s="16">
        <v>109.858637277</v>
      </c>
      <c r="I54" s="16">
        <v>37.7352335972</v>
      </c>
      <c r="J54" s="18">
        <v>1072</v>
      </c>
      <c r="K54" s="18">
        <v>2</v>
      </c>
      <c r="L54" s="18">
        <f t="shared" si="0"/>
        <v>1071</v>
      </c>
      <c r="M54" s="20">
        <v>0.193</v>
      </c>
      <c r="N54" s="20">
        <v>0.486</v>
      </c>
      <c r="O54" s="14" t="s">
        <v>98</v>
      </c>
      <c r="P54" s="15">
        <v>399430.5105</v>
      </c>
      <c r="Q54" s="15">
        <v>4177052.3992</v>
      </c>
    </row>
    <row r="55" ht="16.2" customHeight="1" spans="1:17">
      <c r="A55" s="14">
        <v>53</v>
      </c>
      <c r="B55" s="14" t="s">
        <v>18</v>
      </c>
      <c r="C55" s="15" t="s">
        <v>19</v>
      </c>
      <c r="D55" s="14" t="s">
        <v>104</v>
      </c>
      <c r="E55" s="14" t="s">
        <v>106</v>
      </c>
      <c r="F55" s="14" t="s">
        <v>22</v>
      </c>
      <c r="G55" s="14" t="s">
        <v>31</v>
      </c>
      <c r="H55" s="16">
        <v>109.8522833</v>
      </c>
      <c r="I55" s="16">
        <v>37.73730833</v>
      </c>
      <c r="J55" s="18">
        <v>1051</v>
      </c>
      <c r="K55" s="18">
        <v>8</v>
      </c>
      <c r="L55" s="18">
        <f t="shared" si="0"/>
        <v>1047</v>
      </c>
      <c r="M55" s="20">
        <v>15.581</v>
      </c>
      <c r="N55" s="20">
        <v>46.302</v>
      </c>
      <c r="O55" s="14" t="s">
        <v>98</v>
      </c>
      <c r="P55" s="15">
        <v>398873.4428</v>
      </c>
      <c r="Q55" s="15">
        <v>4177289.4424</v>
      </c>
    </row>
    <row r="56" ht="16.2" customHeight="1" spans="1:17">
      <c r="A56" s="14">
        <v>54</v>
      </c>
      <c r="B56" s="14" t="s">
        <v>18</v>
      </c>
      <c r="C56" s="15" t="s">
        <v>19</v>
      </c>
      <c r="D56" s="14" t="s">
        <v>104</v>
      </c>
      <c r="E56" s="14" t="s">
        <v>107</v>
      </c>
      <c r="F56" s="14" t="s">
        <v>22</v>
      </c>
      <c r="G56" s="14" t="s">
        <v>34</v>
      </c>
      <c r="H56" s="16">
        <v>109.8531944</v>
      </c>
      <c r="I56" s="16">
        <v>37.74299722</v>
      </c>
      <c r="J56" s="18">
        <v>1050</v>
      </c>
      <c r="K56" s="18">
        <v>6</v>
      </c>
      <c r="L56" s="18">
        <f t="shared" si="0"/>
        <v>1047</v>
      </c>
      <c r="M56" s="20">
        <v>3.502</v>
      </c>
      <c r="N56" s="20">
        <v>10.721</v>
      </c>
      <c r="O56" s="14" t="s">
        <v>98</v>
      </c>
      <c r="P56" s="15">
        <v>398961.4575</v>
      </c>
      <c r="Q56" s="15">
        <v>4177919.6567</v>
      </c>
    </row>
    <row r="57" ht="16.2" customHeight="1" spans="1:17">
      <c r="A57" s="14">
        <v>55</v>
      </c>
      <c r="B57" s="14" t="s">
        <v>18</v>
      </c>
      <c r="C57" s="15" t="s">
        <v>19</v>
      </c>
      <c r="D57" s="14" t="s">
        <v>104</v>
      </c>
      <c r="E57" s="14" t="s">
        <v>108</v>
      </c>
      <c r="F57" s="14" t="s">
        <v>22</v>
      </c>
      <c r="G57" s="14" t="s">
        <v>23</v>
      </c>
      <c r="H57" s="16">
        <v>109.877299278</v>
      </c>
      <c r="I57" s="16">
        <v>37.7442385346</v>
      </c>
      <c r="J57" s="18">
        <v>1011.5</v>
      </c>
      <c r="K57" s="18">
        <v>6.5</v>
      </c>
      <c r="L57" s="18">
        <f t="shared" si="0"/>
        <v>1008.25</v>
      </c>
      <c r="M57" s="20">
        <v>2.128</v>
      </c>
      <c r="N57" s="20">
        <v>7.3</v>
      </c>
      <c r="O57" s="14" t="s">
        <v>104</v>
      </c>
      <c r="P57" s="15">
        <v>401086.9234</v>
      </c>
      <c r="Q57" s="15">
        <v>4178031.6331</v>
      </c>
    </row>
    <row r="58" ht="16.2" customHeight="1" spans="1:17">
      <c r="A58" s="14">
        <v>56</v>
      </c>
      <c r="B58" s="14" t="s">
        <v>18</v>
      </c>
      <c r="C58" s="15" t="s">
        <v>19</v>
      </c>
      <c r="D58" s="14" t="s">
        <v>104</v>
      </c>
      <c r="E58" s="14" t="s">
        <v>109</v>
      </c>
      <c r="F58" s="14" t="s">
        <v>22</v>
      </c>
      <c r="G58" s="14" t="s">
        <v>34</v>
      </c>
      <c r="H58" s="16">
        <v>109.864031281</v>
      </c>
      <c r="I58" s="16">
        <v>37.7526657233</v>
      </c>
      <c r="J58" s="18">
        <v>1030.2</v>
      </c>
      <c r="K58" s="18">
        <v>3.2</v>
      </c>
      <c r="L58" s="18">
        <f t="shared" si="0"/>
        <v>1028.6</v>
      </c>
      <c r="M58" s="20">
        <v>2.392</v>
      </c>
      <c r="N58" s="20">
        <v>14.348</v>
      </c>
      <c r="O58" s="14" t="s">
        <v>104</v>
      </c>
      <c r="P58" s="15">
        <v>399929.2877</v>
      </c>
      <c r="Q58" s="15">
        <v>4178980.76</v>
      </c>
    </row>
    <row r="59" ht="16.2" customHeight="1" spans="1:17">
      <c r="A59" s="14">
        <v>57</v>
      </c>
      <c r="B59" s="14" t="s">
        <v>18</v>
      </c>
      <c r="C59" s="15" t="s">
        <v>19</v>
      </c>
      <c r="D59" s="14" t="s">
        <v>104</v>
      </c>
      <c r="E59" s="14" t="s">
        <v>110</v>
      </c>
      <c r="F59" s="14" t="s">
        <v>22</v>
      </c>
      <c r="G59" s="14" t="s">
        <v>34</v>
      </c>
      <c r="H59" s="16">
        <v>109.871282152</v>
      </c>
      <c r="I59" s="16">
        <v>37.7400106817</v>
      </c>
      <c r="J59" s="18">
        <v>1020</v>
      </c>
      <c r="K59" s="18">
        <v>14</v>
      </c>
      <c r="L59" s="18">
        <f t="shared" si="0"/>
        <v>1013</v>
      </c>
      <c r="M59" s="20">
        <v>1.224</v>
      </c>
      <c r="N59" s="20">
        <v>5.201</v>
      </c>
      <c r="O59" s="14" t="s">
        <v>104</v>
      </c>
      <c r="P59" s="15">
        <v>400551.1232</v>
      </c>
      <c r="Q59" s="15">
        <v>4177568.9183</v>
      </c>
    </row>
    <row r="60" ht="16.2" customHeight="1" spans="1:17">
      <c r="A60" s="14">
        <v>58</v>
      </c>
      <c r="B60" s="14" t="s">
        <v>18</v>
      </c>
      <c r="C60" s="15" t="s">
        <v>19</v>
      </c>
      <c r="D60" s="14" t="s">
        <v>104</v>
      </c>
      <c r="E60" s="14" t="s">
        <v>111</v>
      </c>
      <c r="F60" s="14" t="s">
        <v>22</v>
      </c>
      <c r="G60" s="14" t="s">
        <v>31</v>
      </c>
      <c r="H60" s="16">
        <v>109.891075</v>
      </c>
      <c r="I60" s="16">
        <v>37.73797222</v>
      </c>
      <c r="J60" s="18">
        <v>994.8</v>
      </c>
      <c r="K60" s="18">
        <v>10.8</v>
      </c>
      <c r="L60" s="18">
        <f t="shared" si="0"/>
        <v>989.4</v>
      </c>
      <c r="M60" s="20">
        <v>0.7202</v>
      </c>
      <c r="N60" s="20">
        <v>3.565</v>
      </c>
      <c r="O60" s="14" t="s">
        <v>104</v>
      </c>
      <c r="P60" s="15">
        <v>402292.4041</v>
      </c>
      <c r="Q60" s="15">
        <v>4177321.8994</v>
      </c>
    </row>
    <row r="61" ht="16.2" customHeight="1" spans="1:17">
      <c r="A61" s="14">
        <v>59</v>
      </c>
      <c r="B61" s="14" t="s">
        <v>18</v>
      </c>
      <c r="C61" s="15" t="s">
        <v>19</v>
      </c>
      <c r="D61" s="14" t="s">
        <v>104</v>
      </c>
      <c r="E61" s="14" t="s">
        <v>112</v>
      </c>
      <c r="F61" s="14" t="s">
        <v>113</v>
      </c>
      <c r="G61" s="14" t="s">
        <v>23</v>
      </c>
      <c r="H61" s="16">
        <v>109.87028475</v>
      </c>
      <c r="I61" s="16">
        <v>37.7484421507</v>
      </c>
      <c r="J61" s="18">
        <v>1029</v>
      </c>
      <c r="K61" s="18">
        <v>4</v>
      </c>
      <c r="L61" s="18">
        <f t="shared" si="0"/>
        <v>1027</v>
      </c>
      <c r="M61" s="20">
        <v>6.382</v>
      </c>
      <c r="N61" s="20">
        <v>34.449</v>
      </c>
      <c r="O61" s="14" t="s">
        <v>104</v>
      </c>
      <c r="P61" s="15">
        <v>400474.534</v>
      </c>
      <c r="Q61" s="15">
        <v>4178505.4729</v>
      </c>
    </row>
    <row r="62" ht="16.2" customHeight="1" spans="1:17">
      <c r="A62" s="14">
        <v>60</v>
      </c>
      <c r="B62" s="14" t="s">
        <v>18</v>
      </c>
      <c r="C62" s="15" t="s">
        <v>19</v>
      </c>
      <c r="D62" s="14" t="s">
        <v>114</v>
      </c>
      <c r="E62" s="14" t="s">
        <v>115</v>
      </c>
      <c r="F62" s="14" t="s">
        <v>22</v>
      </c>
      <c r="G62" s="14" t="s">
        <v>26</v>
      </c>
      <c r="H62" s="16">
        <v>109.929544877</v>
      </c>
      <c r="I62" s="16">
        <v>37.6859919315</v>
      </c>
      <c r="J62" s="18">
        <v>965.2</v>
      </c>
      <c r="K62" s="18">
        <v>10.2</v>
      </c>
      <c r="L62" s="18">
        <f t="shared" si="0"/>
        <v>960.1</v>
      </c>
      <c r="M62" s="20">
        <v>7.605</v>
      </c>
      <c r="N62" s="20">
        <v>24.228</v>
      </c>
      <c r="O62" s="14" t="s">
        <v>102</v>
      </c>
      <c r="P62" s="15">
        <v>405616.1764</v>
      </c>
      <c r="Q62" s="15">
        <v>4171515.1431</v>
      </c>
    </row>
    <row r="63" ht="16.2" customHeight="1" spans="1:17">
      <c r="A63" s="14">
        <v>61</v>
      </c>
      <c r="B63" s="14" t="s">
        <v>18</v>
      </c>
      <c r="C63" s="15" t="s">
        <v>19</v>
      </c>
      <c r="D63" s="14" t="s">
        <v>114</v>
      </c>
      <c r="E63" s="14" t="s">
        <v>116</v>
      </c>
      <c r="F63" s="14" t="s">
        <v>22</v>
      </c>
      <c r="G63" s="14" t="s">
        <v>23</v>
      </c>
      <c r="H63" s="16">
        <v>109.93006277</v>
      </c>
      <c r="I63" s="16">
        <v>37.6890223453</v>
      </c>
      <c r="J63" s="18">
        <v>938</v>
      </c>
      <c r="K63" s="18">
        <v>2</v>
      </c>
      <c r="L63" s="18">
        <f t="shared" si="0"/>
        <v>937</v>
      </c>
      <c r="M63" s="20">
        <v>1.102</v>
      </c>
      <c r="N63" s="20">
        <v>2.181</v>
      </c>
      <c r="O63" s="14" t="s">
        <v>102</v>
      </c>
      <c r="P63" s="15">
        <v>405665.6802</v>
      </c>
      <c r="Q63" s="15">
        <v>4171850.8494</v>
      </c>
    </row>
    <row r="64" ht="16.2" customHeight="1" spans="1:17">
      <c r="A64" s="14">
        <v>62</v>
      </c>
      <c r="B64" s="14" t="s">
        <v>18</v>
      </c>
      <c r="C64" s="15" t="s">
        <v>19</v>
      </c>
      <c r="D64" s="14" t="s">
        <v>117</v>
      </c>
      <c r="E64" s="14" t="s">
        <v>118</v>
      </c>
      <c r="F64" s="14" t="s">
        <v>22</v>
      </c>
      <c r="G64" s="14" t="s">
        <v>31</v>
      </c>
      <c r="H64" s="16">
        <v>109.8865306</v>
      </c>
      <c r="I64" s="16">
        <v>37.69138889</v>
      </c>
      <c r="J64" s="18">
        <v>1019</v>
      </c>
      <c r="K64" s="18">
        <v>10</v>
      </c>
      <c r="L64" s="18">
        <f t="shared" si="0"/>
        <v>1014</v>
      </c>
      <c r="M64" s="20">
        <v>12.229</v>
      </c>
      <c r="N64" s="20">
        <v>41.353</v>
      </c>
      <c r="O64" s="14" t="s">
        <v>102</v>
      </c>
      <c r="P64" s="15">
        <v>401830.5314</v>
      </c>
      <c r="Q64" s="15">
        <v>4172158.1388</v>
      </c>
    </row>
    <row r="65" ht="16.2" customHeight="1" spans="1:17">
      <c r="A65" s="14">
        <v>63</v>
      </c>
      <c r="B65" s="14" t="s">
        <v>18</v>
      </c>
      <c r="C65" s="15" t="s">
        <v>19</v>
      </c>
      <c r="D65" s="14" t="s">
        <v>117</v>
      </c>
      <c r="E65" s="14" t="s">
        <v>119</v>
      </c>
      <c r="F65" s="14" t="s">
        <v>22</v>
      </c>
      <c r="G65" s="14" t="s">
        <v>23</v>
      </c>
      <c r="H65" s="16">
        <v>109.87695</v>
      </c>
      <c r="I65" s="16">
        <v>37.694375</v>
      </c>
      <c r="J65" s="18">
        <v>1046</v>
      </c>
      <c r="K65" s="18">
        <v>8</v>
      </c>
      <c r="L65" s="18">
        <f t="shared" si="0"/>
        <v>1042</v>
      </c>
      <c r="M65" s="20">
        <v>4.467</v>
      </c>
      <c r="N65" s="20">
        <v>28.106</v>
      </c>
      <c r="O65" s="14" t="s">
        <v>102</v>
      </c>
      <c r="P65" s="15">
        <v>400989.7977</v>
      </c>
      <c r="Q65" s="15">
        <v>4172499.534</v>
      </c>
    </row>
    <row r="66" ht="16.2" customHeight="1" spans="1:17">
      <c r="A66" s="14">
        <v>64</v>
      </c>
      <c r="B66" s="14" t="s">
        <v>18</v>
      </c>
      <c r="C66" s="15" t="s">
        <v>19</v>
      </c>
      <c r="D66" s="14" t="s">
        <v>120</v>
      </c>
      <c r="E66" s="14" t="s">
        <v>121</v>
      </c>
      <c r="F66" s="14" t="s">
        <v>30</v>
      </c>
      <c r="G66" s="14" t="s">
        <v>23</v>
      </c>
      <c r="H66" s="16">
        <v>109.952071133</v>
      </c>
      <c r="I66" s="16">
        <v>37.6548926941</v>
      </c>
      <c r="J66" s="18">
        <v>939.8</v>
      </c>
      <c r="K66" s="18">
        <v>2</v>
      </c>
      <c r="L66" s="18">
        <f t="shared" si="0"/>
        <v>938.8</v>
      </c>
      <c r="M66" s="20">
        <v>1.847</v>
      </c>
      <c r="N66" s="20">
        <v>3.539</v>
      </c>
      <c r="O66" s="14" t="s">
        <v>76</v>
      </c>
      <c r="P66" s="15">
        <v>407563.8401</v>
      </c>
      <c r="Q66" s="15">
        <v>4168042.2144</v>
      </c>
    </row>
    <row r="67" ht="16.2" customHeight="1" spans="1:17">
      <c r="A67" s="14">
        <v>65</v>
      </c>
      <c r="B67" s="14" t="s">
        <v>18</v>
      </c>
      <c r="C67" s="15" t="s">
        <v>19</v>
      </c>
      <c r="D67" s="14" t="s">
        <v>120</v>
      </c>
      <c r="E67" s="14" t="s">
        <v>122</v>
      </c>
      <c r="F67" s="14" t="s">
        <v>30</v>
      </c>
      <c r="G67" s="14" t="s">
        <v>28</v>
      </c>
      <c r="H67" s="16">
        <v>109.960307264</v>
      </c>
      <c r="I67" s="16">
        <v>37.6566765784</v>
      </c>
      <c r="J67" s="18">
        <v>924</v>
      </c>
      <c r="K67" s="18">
        <v>2</v>
      </c>
      <c r="L67" s="18">
        <f t="shared" si="0"/>
        <v>923</v>
      </c>
      <c r="M67" s="20">
        <v>4.678</v>
      </c>
      <c r="N67" s="20">
        <v>11.217</v>
      </c>
      <c r="O67" s="14" t="s">
        <v>76</v>
      </c>
      <c r="P67" s="15">
        <v>408292.5511</v>
      </c>
      <c r="Q67" s="15">
        <v>4168232.0502</v>
      </c>
    </row>
    <row r="68" ht="16.2" customHeight="1" spans="1:17">
      <c r="A68" s="14">
        <v>66</v>
      </c>
      <c r="B68" s="14" t="s">
        <v>18</v>
      </c>
      <c r="C68" s="15" t="s">
        <v>19</v>
      </c>
      <c r="D68" s="14" t="s">
        <v>120</v>
      </c>
      <c r="E68" s="14" t="s">
        <v>123</v>
      </c>
      <c r="F68" s="14" t="s">
        <v>30</v>
      </c>
      <c r="G68" s="14" t="s">
        <v>26</v>
      </c>
      <c r="H68" s="16">
        <v>109.972603478</v>
      </c>
      <c r="I68" s="16">
        <v>37.6564260516</v>
      </c>
      <c r="J68" s="18">
        <v>931</v>
      </c>
      <c r="K68" s="18">
        <v>3</v>
      </c>
      <c r="L68" s="18">
        <f t="shared" ref="L68:L131" si="1">J68-K68/2</f>
        <v>929.5</v>
      </c>
      <c r="M68" s="20">
        <v>3.265</v>
      </c>
      <c r="N68" s="20">
        <v>11.302</v>
      </c>
      <c r="O68" s="14" t="s">
        <v>43</v>
      </c>
      <c r="P68" s="15">
        <v>409376.8801</v>
      </c>
      <c r="Q68" s="15">
        <v>4168192.2998</v>
      </c>
    </row>
    <row r="69" ht="16.2" customHeight="1" spans="1:17">
      <c r="A69" s="14">
        <v>67</v>
      </c>
      <c r="B69" s="14" t="s">
        <v>18</v>
      </c>
      <c r="C69" s="15" t="s">
        <v>19</v>
      </c>
      <c r="D69" s="14" t="s">
        <v>124</v>
      </c>
      <c r="E69" s="14" t="s">
        <v>125</v>
      </c>
      <c r="F69" s="14" t="s">
        <v>22</v>
      </c>
      <c r="G69" s="14" t="s">
        <v>34</v>
      </c>
      <c r="H69" s="16">
        <v>109.910036175</v>
      </c>
      <c r="I69" s="16">
        <v>37.7546464916</v>
      </c>
      <c r="J69" s="18">
        <v>1031.2</v>
      </c>
      <c r="K69" s="18">
        <v>13.2</v>
      </c>
      <c r="L69" s="18">
        <f t="shared" si="1"/>
        <v>1024.6</v>
      </c>
      <c r="M69" s="20">
        <v>6.185</v>
      </c>
      <c r="N69" s="20">
        <v>24.685</v>
      </c>
      <c r="O69" s="14" t="s">
        <v>91</v>
      </c>
      <c r="P69" s="15">
        <v>403984.6758</v>
      </c>
      <c r="Q69" s="15">
        <v>4179152.3248</v>
      </c>
    </row>
    <row r="70" ht="16.2" customHeight="1" spans="1:17">
      <c r="A70" s="14">
        <v>68</v>
      </c>
      <c r="B70" s="14" t="s">
        <v>18</v>
      </c>
      <c r="C70" s="15" t="s">
        <v>126</v>
      </c>
      <c r="D70" s="14" t="s">
        <v>127</v>
      </c>
      <c r="E70" s="14" t="s">
        <v>128</v>
      </c>
      <c r="F70" s="14" t="s">
        <v>30</v>
      </c>
      <c r="G70" s="14" t="s">
        <v>34</v>
      </c>
      <c r="H70" s="16">
        <v>110.02285</v>
      </c>
      <c r="I70" s="16">
        <v>37.67108889</v>
      </c>
      <c r="J70" s="18">
        <v>1011</v>
      </c>
      <c r="K70" s="18">
        <v>9.5</v>
      </c>
      <c r="L70" s="18">
        <f t="shared" si="1"/>
        <v>1006.25</v>
      </c>
      <c r="M70" s="20">
        <v>33.096</v>
      </c>
      <c r="N70" s="20">
        <v>89.968</v>
      </c>
      <c r="O70" s="14" t="s">
        <v>129</v>
      </c>
      <c r="P70" s="15">
        <v>413826.0207</v>
      </c>
      <c r="Q70" s="15">
        <v>4169771.7685</v>
      </c>
    </row>
    <row r="71" ht="16.2" customHeight="1" spans="1:17">
      <c r="A71" s="14">
        <v>69</v>
      </c>
      <c r="B71" s="14" t="s">
        <v>18</v>
      </c>
      <c r="C71" s="15" t="s">
        <v>126</v>
      </c>
      <c r="D71" s="14" t="s">
        <v>130</v>
      </c>
      <c r="E71" s="14" t="s">
        <v>131</v>
      </c>
      <c r="F71" s="14" t="s">
        <v>22</v>
      </c>
      <c r="G71" s="14" t="s">
        <v>26</v>
      </c>
      <c r="H71" s="16">
        <v>110.0008333</v>
      </c>
      <c r="I71" s="16">
        <v>37.63083333</v>
      </c>
      <c r="J71" s="18">
        <v>909</v>
      </c>
      <c r="K71" s="18">
        <v>5.5</v>
      </c>
      <c r="L71" s="18">
        <f t="shared" si="1"/>
        <v>906.25</v>
      </c>
      <c r="M71" s="20">
        <v>1.973</v>
      </c>
      <c r="N71" s="20">
        <v>3.93</v>
      </c>
      <c r="O71" s="14" t="s">
        <v>132</v>
      </c>
      <c r="P71" s="15">
        <v>411836.7556</v>
      </c>
      <c r="Q71" s="15">
        <v>4165325.8889</v>
      </c>
    </row>
    <row r="72" ht="16.2" customHeight="1" spans="1:17">
      <c r="A72" s="14">
        <v>70</v>
      </c>
      <c r="B72" s="14" t="s">
        <v>18</v>
      </c>
      <c r="C72" s="15" t="s">
        <v>126</v>
      </c>
      <c r="D72" s="14" t="s">
        <v>130</v>
      </c>
      <c r="E72" s="14" t="s">
        <v>133</v>
      </c>
      <c r="F72" s="14" t="s">
        <v>113</v>
      </c>
      <c r="G72" s="14" t="s">
        <v>34</v>
      </c>
      <c r="H72" s="16">
        <v>110.0013889</v>
      </c>
      <c r="I72" s="16">
        <v>37.63305556</v>
      </c>
      <c r="J72" s="18">
        <v>932</v>
      </c>
      <c r="K72" s="18">
        <v>10</v>
      </c>
      <c r="L72" s="18">
        <f t="shared" si="1"/>
        <v>927</v>
      </c>
      <c r="M72" s="20">
        <v>21.494</v>
      </c>
      <c r="N72" s="20">
        <v>52.059</v>
      </c>
      <c r="O72" s="14" t="s">
        <v>132</v>
      </c>
      <c r="P72" s="15">
        <v>411888.4053</v>
      </c>
      <c r="Q72" s="15">
        <v>4165571.9222</v>
      </c>
    </row>
    <row r="73" ht="16.2" customHeight="1" spans="1:17">
      <c r="A73" s="14">
        <v>71</v>
      </c>
      <c r="B73" s="14" t="s">
        <v>18</v>
      </c>
      <c r="C73" s="15" t="s">
        <v>126</v>
      </c>
      <c r="D73" s="14" t="s">
        <v>130</v>
      </c>
      <c r="E73" s="14" t="s">
        <v>134</v>
      </c>
      <c r="F73" s="14" t="s">
        <v>30</v>
      </c>
      <c r="G73" s="14" t="s">
        <v>23</v>
      </c>
      <c r="H73" s="16">
        <v>109.984775</v>
      </c>
      <c r="I73" s="16">
        <v>37.64156389</v>
      </c>
      <c r="J73" s="18">
        <v>910</v>
      </c>
      <c r="K73" s="18">
        <v>4</v>
      </c>
      <c r="L73" s="18">
        <f t="shared" si="1"/>
        <v>908</v>
      </c>
      <c r="M73" s="20">
        <v>2.75</v>
      </c>
      <c r="N73" s="20">
        <v>11.281</v>
      </c>
      <c r="O73" s="14" t="s">
        <v>45</v>
      </c>
      <c r="P73" s="15">
        <v>410432.6684</v>
      </c>
      <c r="Q73" s="15">
        <v>4166531.6512</v>
      </c>
    </row>
    <row r="74" ht="16.2" customHeight="1" spans="1:17">
      <c r="A74" s="14">
        <v>72</v>
      </c>
      <c r="B74" s="14" t="s">
        <v>18</v>
      </c>
      <c r="C74" s="15" t="s">
        <v>135</v>
      </c>
      <c r="D74" s="14" t="s">
        <v>136</v>
      </c>
      <c r="E74" s="14" t="s">
        <v>137</v>
      </c>
      <c r="F74" s="14" t="s">
        <v>22</v>
      </c>
      <c r="G74" s="14" t="s">
        <v>34</v>
      </c>
      <c r="H74" s="16">
        <v>109.810577612</v>
      </c>
      <c r="I74" s="16">
        <v>37.7677867692</v>
      </c>
      <c r="J74" s="18">
        <v>1140.5</v>
      </c>
      <c r="K74" s="18">
        <v>7</v>
      </c>
      <c r="L74" s="18">
        <f t="shared" si="1"/>
        <v>1137</v>
      </c>
      <c r="M74" s="20">
        <v>0.832</v>
      </c>
      <c r="N74" s="20">
        <v>4.573</v>
      </c>
      <c r="O74" s="14" t="s">
        <v>24</v>
      </c>
      <c r="P74" s="15">
        <v>395241.5656</v>
      </c>
      <c r="Q74" s="15">
        <v>4180717.0094</v>
      </c>
    </row>
    <row r="75" ht="16.2" customHeight="1" spans="1:17">
      <c r="A75" s="14">
        <v>73</v>
      </c>
      <c r="B75" s="14" t="s">
        <v>18</v>
      </c>
      <c r="C75" s="15" t="s">
        <v>135</v>
      </c>
      <c r="D75" s="14" t="s">
        <v>136</v>
      </c>
      <c r="E75" s="14" t="s">
        <v>138</v>
      </c>
      <c r="F75" s="14" t="s">
        <v>22</v>
      </c>
      <c r="G75" s="14" t="s">
        <v>34</v>
      </c>
      <c r="H75" s="16">
        <v>109.799199246</v>
      </c>
      <c r="I75" s="16">
        <v>37.757165625</v>
      </c>
      <c r="J75" s="18">
        <v>1127</v>
      </c>
      <c r="K75" s="18">
        <v>2</v>
      </c>
      <c r="L75" s="18">
        <f t="shared" si="1"/>
        <v>1126</v>
      </c>
      <c r="M75" s="20">
        <v>0.82</v>
      </c>
      <c r="N75" s="20">
        <v>21.18</v>
      </c>
      <c r="O75" s="14" t="s">
        <v>24</v>
      </c>
      <c r="P75" s="15">
        <v>394224.2516</v>
      </c>
      <c r="Q75" s="15">
        <v>4179551.3587</v>
      </c>
    </row>
    <row r="76" ht="16.2" customHeight="1" spans="1:17">
      <c r="A76" s="14">
        <v>74</v>
      </c>
      <c r="B76" s="14" t="s">
        <v>18</v>
      </c>
      <c r="C76" s="15" t="s">
        <v>135</v>
      </c>
      <c r="D76" s="14" t="s">
        <v>136</v>
      </c>
      <c r="E76" s="14" t="s">
        <v>139</v>
      </c>
      <c r="F76" s="14" t="s">
        <v>22</v>
      </c>
      <c r="G76" s="14" t="s">
        <v>31</v>
      </c>
      <c r="H76" s="16">
        <v>109.8051278</v>
      </c>
      <c r="I76" s="16">
        <v>37.76137222</v>
      </c>
      <c r="J76" s="18">
        <v>1127.5</v>
      </c>
      <c r="K76" s="18">
        <v>6.5</v>
      </c>
      <c r="L76" s="18">
        <f t="shared" si="1"/>
        <v>1124.25</v>
      </c>
      <c r="M76" s="20">
        <v>9.498</v>
      </c>
      <c r="N76" s="20">
        <v>27.909</v>
      </c>
      <c r="O76" s="14" t="s">
        <v>24</v>
      </c>
      <c r="P76" s="15">
        <v>394752.4645</v>
      </c>
      <c r="Q76" s="15">
        <v>4180011.4092</v>
      </c>
    </row>
    <row r="77" ht="16.2" customHeight="1" spans="1:17">
      <c r="A77" s="14">
        <v>75</v>
      </c>
      <c r="B77" s="14" t="s">
        <v>18</v>
      </c>
      <c r="C77" s="15" t="s">
        <v>140</v>
      </c>
      <c r="D77" s="14" t="s">
        <v>141</v>
      </c>
      <c r="E77" s="14" t="s">
        <v>142</v>
      </c>
      <c r="F77" s="14" t="s">
        <v>22</v>
      </c>
      <c r="G77" s="14" t="s">
        <v>31</v>
      </c>
      <c r="H77" s="16">
        <v>109.8235583</v>
      </c>
      <c r="I77" s="16">
        <v>37.74343889</v>
      </c>
      <c r="J77" s="18">
        <v>1074.3</v>
      </c>
      <c r="K77" s="18">
        <v>16.3</v>
      </c>
      <c r="L77" s="18">
        <f t="shared" si="1"/>
        <v>1066.15</v>
      </c>
      <c r="M77" s="20">
        <v>19.732</v>
      </c>
      <c r="N77" s="20">
        <v>66.724</v>
      </c>
      <c r="O77" s="14" t="s">
        <v>98</v>
      </c>
      <c r="P77" s="15">
        <v>396350.913</v>
      </c>
      <c r="Q77" s="15">
        <v>4178001.0709</v>
      </c>
    </row>
    <row r="78" ht="16.2" customHeight="1" spans="1:17">
      <c r="A78" s="14">
        <v>76</v>
      </c>
      <c r="B78" s="14" t="s">
        <v>18</v>
      </c>
      <c r="C78" s="15" t="s">
        <v>140</v>
      </c>
      <c r="D78" s="14" t="s">
        <v>141</v>
      </c>
      <c r="E78" s="14" t="s">
        <v>143</v>
      </c>
      <c r="F78" s="14" t="s">
        <v>22</v>
      </c>
      <c r="G78" s="14" t="s">
        <v>31</v>
      </c>
      <c r="H78" s="16">
        <v>109.803275</v>
      </c>
      <c r="I78" s="16">
        <v>37.742125</v>
      </c>
      <c r="J78" s="18">
        <v>1117</v>
      </c>
      <c r="K78" s="18">
        <v>10</v>
      </c>
      <c r="L78" s="18">
        <f t="shared" si="1"/>
        <v>1112</v>
      </c>
      <c r="M78" s="20">
        <v>9.433</v>
      </c>
      <c r="N78" s="20">
        <v>25.671</v>
      </c>
      <c r="O78" s="14" t="s">
        <v>98</v>
      </c>
      <c r="P78" s="15">
        <v>394561.9461</v>
      </c>
      <c r="Q78" s="15">
        <v>4177877.9488</v>
      </c>
    </row>
    <row r="79" ht="16.2" customHeight="1" spans="1:17">
      <c r="A79" s="14">
        <v>77</v>
      </c>
      <c r="B79" s="14" t="s">
        <v>18</v>
      </c>
      <c r="C79" s="15" t="s">
        <v>140</v>
      </c>
      <c r="D79" s="14" t="s">
        <v>141</v>
      </c>
      <c r="E79" s="14" t="s">
        <v>144</v>
      </c>
      <c r="F79" s="14" t="s">
        <v>22</v>
      </c>
      <c r="G79" s="14" t="s">
        <v>23</v>
      </c>
      <c r="H79" s="16">
        <v>109.815</v>
      </c>
      <c r="I79" s="16">
        <v>37.74527778</v>
      </c>
      <c r="J79" s="18">
        <v>1120</v>
      </c>
      <c r="K79" s="18">
        <v>15</v>
      </c>
      <c r="L79" s="18">
        <f t="shared" si="1"/>
        <v>1112.5</v>
      </c>
      <c r="M79" s="20">
        <v>4.035</v>
      </c>
      <c r="N79" s="20">
        <v>11.891</v>
      </c>
      <c r="O79" s="14" t="s">
        <v>98</v>
      </c>
      <c r="P79" s="15">
        <v>395599.4498</v>
      </c>
      <c r="Q79" s="15">
        <v>4178214.6149</v>
      </c>
    </row>
    <row r="80" ht="16.2" customHeight="1" spans="1:17">
      <c r="A80" s="14">
        <v>78</v>
      </c>
      <c r="B80" s="14" t="s">
        <v>18</v>
      </c>
      <c r="C80" s="15" t="s">
        <v>140</v>
      </c>
      <c r="D80" s="14" t="s">
        <v>141</v>
      </c>
      <c r="E80" s="14" t="s">
        <v>145</v>
      </c>
      <c r="F80" s="14" t="s">
        <v>22</v>
      </c>
      <c r="G80" s="14" t="s">
        <v>72</v>
      </c>
      <c r="H80" s="16">
        <v>109.8181778</v>
      </c>
      <c r="I80" s="16">
        <v>37.72446389</v>
      </c>
      <c r="J80" s="18">
        <v>1101</v>
      </c>
      <c r="K80" s="18">
        <v>4.5</v>
      </c>
      <c r="L80" s="18">
        <f t="shared" si="1"/>
        <v>1098.75</v>
      </c>
      <c r="M80" s="20">
        <v>0.226</v>
      </c>
      <c r="N80" s="20">
        <v>0.756</v>
      </c>
      <c r="O80" s="14" t="s">
        <v>98</v>
      </c>
      <c r="P80" s="15">
        <v>395850.2726</v>
      </c>
      <c r="Q80" s="15">
        <v>4175901.7099</v>
      </c>
    </row>
    <row r="81" ht="16.2" customHeight="1" spans="1:17">
      <c r="A81" s="14">
        <v>79</v>
      </c>
      <c r="B81" s="14" t="s">
        <v>18</v>
      </c>
      <c r="C81" s="15" t="s">
        <v>140</v>
      </c>
      <c r="D81" s="14" t="s">
        <v>141</v>
      </c>
      <c r="E81" s="14" t="s">
        <v>146</v>
      </c>
      <c r="F81" s="14" t="s">
        <v>113</v>
      </c>
      <c r="G81" s="14" t="s">
        <v>34</v>
      </c>
      <c r="H81" s="16">
        <v>109.816225</v>
      </c>
      <c r="I81" s="16">
        <v>37.73475278</v>
      </c>
      <c r="J81" s="18">
        <v>1087</v>
      </c>
      <c r="K81" s="18">
        <v>21</v>
      </c>
      <c r="L81" s="18">
        <f t="shared" si="1"/>
        <v>1076.5</v>
      </c>
      <c r="M81" s="20">
        <v>24.682</v>
      </c>
      <c r="N81" s="20">
        <v>80.263</v>
      </c>
      <c r="O81" s="14" t="s">
        <v>98</v>
      </c>
      <c r="P81" s="15">
        <v>395692.6084</v>
      </c>
      <c r="Q81" s="15">
        <v>4177045.467</v>
      </c>
    </row>
    <row r="82" ht="16.2" customHeight="1" spans="1:17">
      <c r="A82" s="14">
        <v>80</v>
      </c>
      <c r="B82" s="14" t="s">
        <v>18</v>
      </c>
      <c r="C82" s="15" t="s">
        <v>140</v>
      </c>
      <c r="D82" s="14" t="s">
        <v>141</v>
      </c>
      <c r="E82" s="14" t="s">
        <v>147</v>
      </c>
      <c r="F82" s="14" t="s">
        <v>113</v>
      </c>
      <c r="G82" s="14" t="s">
        <v>72</v>
      </c>
      <c r="H82" s="16">
        <v>109.8117306</v>
      </c>
      <c r="I82" s="16">
        <v>37.7341</v>
      </c>
      <c r="J82" s="18">
        <v>1099</v>
      </c>
      <c r="K82" s="18">
        <v>14</v>
      </c>
      <c r="L82" s="18">
        <f t="shared" si="1"/>
        <v>1092</v>
      </c>
      <c r="M82" s="20">
        <v>51.576</v>
      </c>
      <c r="N82" s="20">
        <v>138.212</v>
      </c>
      <c r="O82" s="14" t="s">
        <v>98</v>
      </c>
      <c r="P82" s="15">
        <v>395295.6541</v>
      </c>
      <c r="Q82" s="15">
        <v>4176978.0569</v>
      </c>
    </row>
    <row r="83" ht="16.2" customHeight="1" spans="1:17">
      <c r="A83" s="14">
        <v>81</v>
      </c>
      <c r="B83" s="14" t="s">
        <v>18</v>
      </c>
      <c r="C83" s="15" t="s">
        <v>140</v>
      </c>
      <c r="D83" s="14" t="s">
        <v>148</v>
      </c>
      <c r="E83" s="14" t="s">
        <v>149</v>
      </c>
      <c r="F83" s="14" t="s">
        <v>22</v>
      </c>
      <c r="G83" s="14" t="s">
        <v>72</v>
      </c>
      <c r="H83" s="16">
        <v>109.8483833</v>
      </c>
      <c r="I83" s="16">
        <v>37.71799167</v>
      </c>
      <c r="J83" s="18">
        <v>1057.9</v>
      </c>
      <c r="K83" s="18">
        <v>3</v>
      </c>
      <c r="L83" s="18">
        <f t="shared" si="1"/>
        <v>1056.4</v>
      </c>
      <c r="M83" s="20">
        <v>3.533</v>
      </c>
      <c r="N83" s="20">
        <v>9.475</v>
      </c>
      <c r="O83" s="14" t="s">
        <v>61</v>
      </c>
      <c r="P83" s="15">
        <v>398503.4346</v>
      </c>
      <c r="Q83" s="15">
        <v>4175150.4292</v>
      </c>
    </row>
    <row r="84" ht="16.2" customHeight="1" spans="1:17">
      <c r="A84" s="14">
        <v>82</v>
      </c>
      <c r="B84" s="14" t="s">
        <v>18</v>
      </c>
      <c r="C84" s="15" t="s">
        <v>140</v>
      </c>
      <c r="D84" s="14" t="s">
        <v>148</v>
      </c>
      <c r="E84" s="14" t="s">
        <v>150</v>
      </c>
      <c r="F84" s="14" t="s">
        <v>22</v>
      </c>
      <c r="G84" s="14" t="s">
        <v>72</v>
      </c>
      <c r="H84" s="16">
        <v>109.855844751</v>
      </c>
      <c r="I84" s="16">
        <v>37.7172209971</v>
      </c>
      <c r="J84" s="18">
        <v>1055</v>
      </c>
      <c r="K84" s="18">
        <v>2.5</v>
      </c>
      <c r="L84" s="18">
        <f t="shared" si="1"/>
        <v>1053.75</v>
      </c>
      <c r="M84" s="20">
        <v>2.002</v>
      </c>
      <c r="N84" s="20">
        <v>4.121</v>
      </c>
      <c r="O84" s="14" t="s">
        <v>61</v>
      </c>
      <c r="P84" s="15">
        <v>399160.0195</v>
      </c>
      <c r="Q84" s="15">
        <v>4175056.8599</v>
      </c>
    </row>
    <row r="85" ht="16.2" customHeight="1" spans="1:17">
      <c r="A85" s="14">
        <v>83</v>
      </c>
      <c r="B85" s="14" t="s">
        <v>18</v>
      </c>
      <c r="C85" s="15" t="s">
        <v>140</v>
      </c>
      <c r="D85" s="14" t="s">
        <v>151</v>
      </c>
      <c r="E85" s="14" t="s">
        <v>152</v>
      </c>
      <c r="F85" s="14" t="s">
        <v>22</v>
      </c>
      <c r="G85" s="14" t="s">
        <v>72</v>
      </c>
      <c r="H85" s="16">
        <v>109.8057861</v>
      </c>
      <c r="I85" s="16">
        <v>37.72955556</v>
      </c>
      <c r="J85" s="18">
        <v>1099</v>
      </c>
      <c r="K85" s="18">
        <v>5.5</v>
      </c>
      <c r="L85" s="18">
        <f t="shared" si="1"/>
        <v>1096.25</v>
      </c>
      <c r="M85" s="20">
        <v>5.105</v>
      </c>
      <c r="N85" s="20">
        <v>15.326</v>
      </c>
      <c r="O85" s="14" t="s">
        <v>98</v>
      </c>
      <c r="P85" s="15">
        <v>394765.403</v>
      </c>
      <c r="Q85" s="15">
        <v>4176480.5032</v>
      </c>
    </row>
    <row r="86" ht="16.2" customHeight="1" spans="1:17">
      <c r="A86" s="14">
        <v>84</v>
      </c>
      <c r="B86" s="14" t="s">
        <v>18</v>
      </c>
      <c r="C86" s="15" t="s">
        <v>140</v>
      </c>
      <c r="D86" s="14" t="s">
        <v>151</v>
      </c>
      <c r="E86" s="14" t="s">
        <v>153</v>
      </c>
      <c r="F86" s="14" t="s">
        <v>113</v>
      </c>
      <c r="G86" s="14" t="s">
        <v>23</v>
      </c>
      <c r="H86" s="16">
        <v>109.8116583</v>
      </c>
      <c r="I86" s="16">
        <v>37.73187222</v>
      </c>
      <c r="J86" s="18">
        <v>1099</v>
      </c>
      <c r="K86" s="18">
        <v>4.5</v>
      </c>
      <c r="L86" s="18">
        <f t="shared" si="1"/>
        <v>1096.75</v>
      </c>
      <c r="M86" s="20">
        <v>134.324</v>
      </c>
      <c r="N86" s="20">
        <v>175.196</v>
      </c>
      <c r="O86" s="14" t="s">
        <v>98</v>
      </c>
      <c r="P86" s="15">
        <v>395286.1453</v>
      </c>
      <c r="Q86" s="15">
        <v>4176730.9587</v>
      </c>
    </row>
    <row r="87" ht="16.2" customHeight="1" spans="1:17">
      <c r="A87" s="14">
        <v>85</v>
      </c>
      <c r="B87" s="14" t="s">
        <v>154</v>
      </c>
      <c r="C87" s="15" t="s">
        <v>155</v>
      </c>
      <c r="D87" s="14" t="s">
        <v>156</v>
      </c>
      <c r="E87" s="14" t="s">
        <v>157</v>
      </c>
      <c r="F87" s="14" t="s">
        <v>22</v>
      </c>
      <c r="G87" s="14" t="s">
        <v>26</v>
      </c>
      <c r="H87" s="16">
        <v>109.885971902</v>
      </c>
      <c r="I87" s="16">
        <v>37.7661146792</v>
      </c>
      <c r="J87" s="18">
        <v>1056</v>
      </c>
      <c r="K87" s="18">
        <v>6</v>
      </c>
      <c r="L87" s="18">
        <f t="shared" si="1"/>
        <v>1053</v>
      </c>
      <c r="M87" s="20">
        <v>6.768</v>
      </c>
      <c r="N87" s="20">
        <v>22.705</v>
      </c>
      <c r="O87" s="14" t="s">
        <v>39</v>
      </c>
      <c r="P87" s="15">
        <v>401879.9301</v>
      </c>
      <c r="Q87" s="15">
        <v>4180449.7205</v>
      </c>
    </row>
    <row r="88" ht="16.2" customHeight="1" spans="1:17">
      <c r="A88" s="14">
        <v>86</v>
      </c>
      <c r="B88" s="14" t="s">
        <v>158</v>
      </c>
      <c r="C88" s="15" t="s">
        <v>159</v>
      </c>
      <c r="D88" s="14" t="s">
        <v>160</v>
      </c>
      <c r="E88" s="14" t="s">
        <v>161</v>
      </c>
      <c r="F88" s="14" t="s">
        <v>22</v>
      </c>
      <c r="G88" s="14" t="s">
        <v>26</v>
      </c>
      <c r="H88" s="16">
        <v>109.9887528</v>
      </c>
      <c r="I88" s="16">
        <v>37.707225</v>
      </c>
      <c r="J88" s="18">
        <v>1019</v>
      </c>
      <c r="K88" s="18">
        <v>11</v>
      </c>
      <c r="L88" s="18">
        <f t="shared" si="1"/>
        <v>1013.5</v>
      </c>
      <c r="M88" s="20">
        <v>7.2</v>
      </c>
      <c r="N88" s="20">
        <v>18.948</v>
      </c>
      <c r="O88" s="14" t="s">
        <v>43</v>
      </c>
      <c r="P88" s="15">
        <v>410862.2082</v>
      </c>
      <c r="Q88" s="15">
        <v>4173812.9833</v>
      </c>
    </row>
    <row r="89" ht="16.2" customHeight="1" spans="1:17">
      <c r="A89" s="14">
        <v>87</v>
      </c>
      <c r="B89" s="14" t="s">
        <v>158</v>
      </c>
      <c r="C89" s="15" t="s">
        <v>159</v>
      </c>
      <c r="D89" s="14" t="s">
        <v>160</v>
      </c>
      <c r="E89" s="14" t="s">
        <v>162</v>
      </c>
      <c r="F89" s="14" t="s">
        <v>22</v>
      </c>
      <c r="G89" s="14" t="s">
        <v>26</v>
      </c>
      <c r="H89" s="16">
        <v>109.987316888</v>
      </c>
      <c r="I89" s="16">
        <v>37.7139243242</v>
      </c>
      <c r="J89" s="18">
        <v>1033</v>
      </c>
      <c r="K89" s="18">
        <v>5.5</v>
      </c>
      <c r="L89" s="18">
        <f t="shared" si="1"/>
        <v>1030.25</v>
      </c>
      <c r="M89" s="20">
        <v>2.134</v>
      </c>
      <c r="N89" s="20">
        <v>8.124</v>
      </c>
      <c r="O89" s="14" t="s">
        <v>43</v>
      </c>
      <c r="P89" s="15">
        <v>410743.6711</v>
      </c>
      <c r="Q89" s="15">
        <v>4174557.6476</v>
      </c>
    </row>
    <row r="90" ht="16.2" customHeight="1" spans="1:17">
      <c r="A90" s="14">
        <v>88</v>
      </c>
      <c r="B90" s="14" t="s">
        <v>158</v>
      </c>
      <c r="C90" s="15" t="s">
        <v>159</v>
      </c>
      <c r="D90" s="14" t="s">
        <v>160</v>
      </c>
      <c r="E90" s="14" t="s">
        <v>163</v>
      </c>
      <c r="F90" s="14" t="s">
        <v>22</v>
      </c>
      <c r="G90" s="14" t="s">
        <v>26</v>
      </c>
      <c r="H90" s="16">
        <v>109.99035775</v>
      </c>
      <c r="I90" s="16">
        <v>37.708080654</v>
      </c>
      <c r="J90" s="18">
        <v>1019.8</v>
      </c>
      <c r="K90" s="18">
        <v>13.6</v>
      </c>
      <c r="L90" s="18">
        <f t="shared" si="1"/>
        <v>1013</v>
      </c>
      <c r="M90" s="20">
        <v>9.275</v>
      </c>
      <c r="N90" s="20">
        <v>29.033</v>
      </c>
      <c r="O90" s="14" t="s">
        <v>43</v>
      </c>
      <c r="P90" s="15">
        <v>411004.7058</v>
      </c>
      <c r="Q90" s="15">
        <v>4173906.3927</v>
      </c>
    </row>
    <row r="91" ht="16.2" customHeight="1" spans="1:17">
      <c r="A91" s="14">
        <v>89</v>
      </c>
      <c r="B91" s="14" t="s">
        <v>158</v>
      </c>
      <c r="C91" s="15" t="s">
        <v>159</v>
      </c>
      <c r="D91" s="14" t="s">
        <v>164</v>
      </c>
      <c r="E91" s="14" t="s">
        <v>165</v>
      </c>
      <c r="F91" s="14" t="s">
        <v>22</v>
      </c>
      <c r="G91" s="14" t="s">
        <v>26</v>
      </c>
      <c r="H91" s="16">
        <v>109.969125671</v>
      </c>
      <c r="I91" s="16">
        <v>37.7163547108</v>
      </c>
      <c r="J91" s="18">
        <v>1012</v>
      </c>
      <c r="K91" s="18">
        <v>6.5</v>
      </c>
      <c r="L91" s="18">
        <f t="shared" si="1"/>
        <v>1008.75</v>
      </c>
      <c r="M91" s="20">
        <v>18.256</v>
      </c>
      <c r="N91" s="20">
        <v>57.665</v>
      </c>
      <c r="O91" s="14" t="s">
        <v>50</v>
      </c>
      <c r="P91" s="15">
        <v>409143.25</v>
      </c>
      <c r="Q91" s="15">
        <v>4174844.7953</v>
      </c>
    </row>
    <row r="92" ht="16.2" customHeight="1" spans="1:17">
      <c r="A92" s="14">
        <v>90</v>
      </c>
      <c r="B92" s="14" t="s">
        <v>158</v>
      </c>
      <c r="C92" s="15" t="s">
        <v>159</v>
      </c>
      <c r="D92" s="14" t="s">
        <v>164</v>
      </c>
      <c r="E92" s="14" t="s">
        <v>166</v>
      </c>
      <c r="F92" s="14" t="s">
        <v>113</v>
      </c>
      <c r="G92" s="14" t="s">
        <v>34</v>
      </c>
      <c r="H92" s="16">
        <v>109.9475639</v>
      </c>
      <c r="I92" s="16">
        <v>37.7367786162</v>
      </c>
      <c r="J92" s="18">
        <v>1021</v>
      </c>
      <c r="K92" s="18">
        <v>9</v>
      </c>
      <c r="L92" s="18">
        <f t="shared" si="1"/>
        <v>1016.5</v>
      </c>
      <c r="M92" s="20">
        <v>33.01</v>
      </c>
      <c r="N92" s="20">
        <v>101.15</v>
      </c>
      <c r="O92" s="14" t="s">
        <v>58</v>
      </c>
      <c r="P92" s="15">
        <v>407268.3086</v>
      </c>
      <c r="Q92" s="15">
        <v>4177132.0001</v>
      </c>
    </row>
    <row r="93" ht="16.2" customHeight="1" spans="1:17">
      <c r="A93" s="14">
        <v>91</v>
      </c>
      <c r="B93" s="14" t="s">
        <v>158</v>
      </c>
      <c r="C93" s="15" t="s">
        <v>167</v>
      </c>
      <c r="D93" s="14" t="s">
        <v>168</v>
      </c>
      <c r="E93" s="14" t="s">
        <v>169</v>
      </c>
      <c r="F93" s="14" t="s">
        <v>22</v>
      </c>
      <c r="G93" s="14" t="s">
        <v>26</v>
      </c>
      <c r="H93" s="16">
        <v>109.861549372</v>
      </c>
      <c r="I93" s="16">
        <v>37.7832285986</v>
      </c>
      <c r="J93" s="18">
        <v>1085</v>
      </c>
      <c r="K93" s="18">
        <v>9.5</v>
      </c>
      <c r="L93" s="18">
        <f t="shared" si="1"/>
        <v>1080.25</v>
      </c>
      <c r="M93" s="20">
        <v>27.086</v>
      </c>
      <c r="N93" s="20">
        <v>62.049</v>
      </c>
      <c r="O93" s="14" t="s">
        <v>35</v>
      </c>
      <c r="P93" s="15">
        <v>399751.9148</v>
      </c>
      <c r="Q93" s="15">
        <v>4182374.4667</v>
      </c>
    </row>
    <row r="94" ht="16.2" customHeight="1" spans="1:17">
      <c r="A94" s="14">
        <v>92</v>
      </c>
      <c r="B94" s="14" t="s">
        <v>158</v>
      </c>
      <c r="C94" s="15" t="s">
        <v>167</v>
      </c>
      <c r="D94" s="14" t="s">
        <v>168</v>
      </c>
      <c r="E94" s="14" t="s">
        <v>170</v>
      </c>
      <c r="F94" s="14" t="s">
        <v>22</v>
      </c>
      <c r="G94" s="14" t="s">
        <v>34</v>
      </c>
      <c r="H94" s="16">
        <v>109.864967064</v>
      </c>
      <c r="I94" s="16">
        <v>37.7820837443</v>
      </c>
      <c r="J94" s="18">
        <v>1084</v>
      </c>
      <c r="K94" s="18">
        <v>8.5</v>
      </c>
      <c r="L94" s="18">
        <f t="shared" si="1"/>
        <v>1079.75</v>
      </c>
      <c r="M94" s="20">
        <v>6.598</v>
      </c>
      <c r="N94" s="20">
        <v>21.942</v>
      </c>
      <c r="O94" s="14" t="s">
        <v>35</v>
      </c>
      <c r="P94" s="15">
        <v>400051.3332</v>
      </c>
      <c r="Q94" s="15">
        <v>4182243.7824</v>
      </c>
    </row>
    <row r="95" ht="16.2" customHeight="1" spans="1:17">
      <c r="A95" s="14">
        <v>93</v>
      </c>
      <c r="B95" s="14" t="s">
        <v>158</v>
      </c>
      <c r="C95" s="15" t="s">
        <v>167</v>
      </c>
      <c r="D95" s="14" t="s">
        <v>168</v>
      </c>
      <c r="E95" s="14" t="s">
        <v>103</v>
      </c>
      <c r="F95" s="14" t="s">
        <v>30</v>
      </c>
      <c r="G95" s="14" t="s">
        <v>28</v>
      </c>
      <c r="H95" s="16">
        <v>109.861975653</v>
      </c>
      <c r="I95" s="16">
        <v>37.7766127022</v>
      </c>
      <c r="J95" s="14">
        <v>1073</v>
      </c>
      <c r="K95" s="14">
        <v>2.5</v>
      </c>
      <c r="L95" s="18">
        <f t="shared" si="1"/>
        <v>1071.75</v>
      </c>
      <c r="M95" s="20">
        <v>5.902</v>
      </c>
      <c r="N95" s="20">
        <v>13.004</v>
      </c>
      <c r="O95" s="14" t="s">
        <v>35</v>
      </c>
      <c r="P95" s="15">
        <v>399780.5196</v>
      </c>
      <c r="Q95" s="15">
        <v>4181639.9534</v>
      </c>
    </row>
    <row r="96" ht="16.2" customHeight="1" spans="1:17">
      <c r="A96" s="14">
        <v>94</v>
      </c>
      <c r="B96" s="14" t="s">
        <v>158</v>
      </c>
      <c r="C96" s="15" t="s">
        <v>167</v>
      </c>
      <c r="D96" s="14" t="s">
        <v>171</v>
      </c>
      <c r="E96" s="14" t="s">
        <v>172</v>
      </c>
      <c r="F96" s="14" t="s">
        <v>113</v>
      </c>
      <c r="G96" s="14" t="s">
        <v>26</v>
      </c>
      <c r="H96" s="16">
        <v>109.856299297</v>
      </c>
      <c r="I96" s="16">
        <v>37.7809607408</v>
      </c>
      <c r="J96" s="18">
        <v>1082.5</v>
      </c>
      <c r="K96" s="18">
        <v>7.5</v>
      </c>
      <c r="L96" s="18">
        <f t="shared" si="1"/>
        <v>1078.75</v>
      </c>
      <c r="M96" s="20">
        <v>17.85</v>
      </c>
      <c r="N96" s="20">
        <v>37.78</v>
      </c>
      <c r="O96" s="14" t="s">
        <v>35</v>
      </c>
      <c r="P96" s="15">
        <v>399286.518</v>
      </c>
      <c r="Q96" s="15">
        <v>4182128.4818</v>
      </c>
    </row>
    <row r="97" ht="16.2" customHeight="1" spans="1:17">
      <c r="A97" s="14">
        <v>95</v>
      </c>
      <c r="B97" s="14" t="s">
        <v>158</v>
      </c>
      <c r="C97" s="15" t="s">
        <v>173</v>
      </c>
      <c r="D97" s="14" t="s">
        <v>174</v>
      </c>
      <c r="E97" s="14" t="s">
        <v>175</v>
      </c>
      <c r="F97" s="14" t="s">
        <v>22</v>
      </c>
      <c r="G97" s="14" t="s">
        <v>23</v>
      </c>
      <c r="H97" s="16">
        <v>109.920821403</v>
      </c>
      <c r="I97" s="16">
        <v>37.7674376846</v>
      </c>
      <c r="J97" s="18">
        <v>1050</v>
      </c>
      <c r="K97" s="18">
        <v>2.5</v>
      </c>
      <c r="L97" s="18">
        <f t="shared" si="1"/>
        <v>1048.75</v>
      </c>
      <c r="M97" s="20">
        <v>1.286</v>
      </c>
      <c r="N97" s="20">
        <v>6.147</v>
      </c>
      <c r="O97" s="14" t="s">
        <v>91</v>
      </c>
      <c r="P97" s="15">
        <v>404951.1505</v>
      </c>
      <c r="Q97" s="15">
        <v>4180560.527</v>
      </c>
    </row>
    <row r="98" ht="16.2" customHeight="1" spans="1:17">
      <c r="A98" s="14">
        <v>96</v>
      </c>
      <c r="B98" s="14" t="s">
        <v>158</v>
      </c>
      <c r="C98" s="15" t="s">
        <v>173</v>
      </c>
      <c r="D98" s="14" t="s">
        <v>174</v>
      </c>
      <c r="E98" s="14" t="s">
        <v>176</v>
      </c>
      <c r="F98" s="14" t="s">
        <v>30</v>
      </c>
      <c r="G98" s="14" t="s">
        <v>23</v>
      </c>
      <c r="H98" s="16">
        <v>109.91657566</v>
      </c>
      <c r="I98" s="16">
        <v>37.7641058215</v>
      </c>
      <c r="J98" s="18">
        <v>1042</v>
      </c>
      <c r="K98" s="18">
        <v>4.5</v>
      </c>
      <c r="L98" s="18">
        <f t="shared" si="1"/>
        <v>1039.75</v>
      </c>
      <c r="M98" s="20">
        <v>4.886</v>
      </c>
      <c r="N98" s="20">
        <v>14.322</v>
      </c>
      <c r="O98" s="14" t="s">
        <v>91</v>
      </c>
      <c r="P98" s="15">
        <v>404572.913</v>
      </c>
      <c r="Q98" s="15">
        <v>4180195.1708</v>
      </c>
    </row>
    <row r="99" ht="16.2" customHeight="1" spans="1:17">
      <c r="A99" s="14">
        <v>97</v>
      </c>
      <c r="B99" s="14" t="s">
        <v>158</v>
      </c>
      <c r="C99" s="15" t="s">
        <v>173</v>
      </c>
      <c r="D99" s="14" t="s">
        <v>177</v>
      </c>
      <c r="E99" s="14" t="s">
        <v>178</v>
      </c>
      <c r="F99" s="14" t="s">
        <v>22</v>
      </c>
      <c r="G99" s="14" t="s">
        <v>23</v>
      </c>
      <c r="H99" s="16">
        <v>109.909927392</v>
      </c>
      <c r="I99" s="16">
        <v>37.7601214465</v>
      </c>
      <c r="J99" s="18">
        <v>1027</v>
      </c>
      <c r="K99" s="18">
        <v>4</v>
      </c>
      <c r="L99" s="18">
        <f t="shared" si="1"/>
        <v>1025</v>
      </c>
      <c r="M99" s="20">
        <v>13.857</v>
      </c>
      <c r="N99" s="20">
        <v>30.068</v>
      </c>
      <c r="O99" s="14" t="s">
        <v>91</v>
      </c>
      <c r="P99" s="15">
        <v>403982.1703</v>
      </c>
      <c r="Q99" s="15">
        <v>4179759.8968</v>
      </c>
    </row>
    <row r="100" ht="16.2" customHeight="1" spans="1:17">
      <c r="A100" s="14">
        <v>98</v>
      </c>
      <c r="B100" s="14" t="s">
        <v>158</v>
      </c>
      <c r="C100" s="15" t="s">
        <v>173</v>
      </c>
      <c r="D100" s="14" t="s">
        <v>177</v>
      </c>
      <c r="E100" s="14" t="s">
        <v>144</v>
      </c>
      <c r="F100" s="14" t="s">
        <v>22</v>
      </c>
      <c r="G100" s="14" t="s">
        <v>26</v>
      </c>
      <c r="H100" s="16">
        <v>109.903953554</v>
      </c>
      <c r="I100" s="16">
        <v>37.7823538326</v>
      </c>
      <c r="J100" s="18">
        <v>1089.2</v>
      </c>
      <c r="K100" s="18">
        <v>13.7</v>
      </c>
      <c r="L100" s="18">
        <f t="shared" si="1"/>
        <v>1082.35</v>
      </c>
      <c r="M100" s="20">
        <v>7.118</v>
      </c>
      <c r="N100" s="20">
        <v>21.343</v>
      </c>
      <c r="O100" s="14" t="s">
        <v>91</v>
      </c>
      <c r="P100" s="15">
        <v>403484.8619</v>
      </c>
      <c r="Q100" s="15">
        <v>4182232.792</v>
      </c>
    </row>
    <row r="101" ht="16.2" customHeight="1" spans="1:17">
      <c r="A101" s="14">
        <v>99</v>
      </c>
      <c r="B101" s="14" t="s">
        <v>158</v>
      </c>
      <c r="C101" s="15" t="s">
        <v>173</v>
      </c>
      <c r="D101" s="14" t="s">
        <v>177</v>
      </c>
      <c r="E101" s="14" t="s">
        <v>179</v>
      </c>
      <c r="F101" s="14" t="s">
        <v>22</v>
      </c>
      <c r="G101" s="14" t="s">
        <v>26</v>
      </c>
      <c r="H101" s="16">
        <v>109.915903902</v>
      </c>
      <c r="I101" s="16">
        <v>37.7735975109</v>
      </c>
      <c r="J101" s="18">
        <v>1059.5</v>
      </c>
      <c r="K101" s="18">
        <v>13.5</v>
      </c>
      <c r="L101" s="18">
        <f t="shared" si="1"/>
        <v>1052.75</v>
      </c>
      <c r="M101" s="20">
        <v>9.328</v>
      </c>
      <c r="N101" s="20">
        <v>28.026</v>
      </c>
      <c r="O101" s="14" t="s">
        <v>91</v>
      </c>
      <c r="P101" s="15">
        <v>404525.9492</v>
      </c>
      <c r="Q101" s="15">
        <v>4181248.985</v>
      </c>
    </row>
    <row r="102" ht="16.2" customHeight="1" spans="1:17">
      <c r="A102" s="14">
        <v>100</v>
      </c>
      <c r="B102" s="14" t="s">
        <v>158</v>
      </c>
      <c r="C102" s="15" t="s">
        <v>173</v>
      </c>
      <c r="D102" s="14" t="s">
        <v>177</v>
      </c>
      <c r="E102" s="14" t="s">
        <v>180</v>
      </c>
      <c r="F102" s="14" t="s">
        <v>113</v>
      </c>
      <c r="G102" s="14" t="s">
        <v>23</v>
      </c>
      <c r="H102" s="16">
        <v>109.910785711</v>
      </c>
      <c r="I102" s="16">
        <v>37.7674112521</v>
      </c>
      <c r="J102" s="18">
        <v>1047</v>
      </c>
      <c r="K102" s="18">
        <v>5</v>
      </c>
      <c r="L102" s="18">
        <f t="shared" si="1"/>
        <v>1044.5</v>
      </c>
      <c r="M102" s="20">
        <v>18.407</v>
      </c>
      <c r="N102" s="20">
        <v>51.209</v>
      </c>
      <c r="O102" s="14" t="s">
        <v>91</v>
      </c>
      <c r="P102" s="15">
        <v>404067.1942</v>
      </c>
      <c r="Q102" s="15">
        <v>4180567.8396</v>
      </c>
    </row>
    <row r="103" ht="16.2" customHeight="1" spans="1:17">
      <c r="A103" s="14">
        <v>101</v>
      </c>
      <c r="B103" s="14" t="s">
        <v>158</v>
      </c>
      <c r="C103" s="15" t="s">
        <v>173</v>
      </c>
      <c r="D103" s="14" t="s">
        <v>177</v>
      </c>
      <c r="E103" s="15" t="s">
        <v>181</v>
      </c>
      <c r="F103" s="15" t="s">
        <v>182</v>
      </c>
      <c r="G103" s="15" t="s">
        <v>183</v>
      </c>
      <c r="H103" s="15">
        <v>109.907996982</v>
      </c>
      <c r="I103" s="15">
        <v>37.7782092461</v>
      </c>
      <c r="J103" s="21">
        <v>1049.5</v>
      </c>
      <c r="K103" s="21">
        <v>6</v>
      </c>
      <c r="L103" s="18">
        <f t="shared" si="1"/>
        <v>1046.5</v>
      </c>
      <c r="M103" s="22">
        <v>0.2858</v>
      </c>
      <c r="N103" s="22">
        <v>3.052</v>
      </c>
      <c r="O103" s="14" t="s">
        <v>91</v>
      </c>
      <c r="P103" s="15">
        <v>403835.557</v>
      </c>
      <c r="Q103" s="15">
        <v>4181768.7718</v>
      </c>
    </row>
    <row r="104" ht="16.2" customHeight="1" spans="1:17">
      <c r="A104" s="14">
        <v>102</v>
      </c>
      <c r="B104" s="15" t="s">
        <v>184</v>
      </c>
      <c r="C104" s="15" t="s">
        <v>19</v>
      </c>
      <c r="D104" s="15" t="s">
        <v>104</v>
      </c>
      <c r="E104" s="15" t="s">
        <v>185</v>
      </c>
      <c r="F104" s="15" t="s">
        <v>182</v>
      </c>
      <c r="G104" s="15" t="s">
        <v>183</v>
      </c>
      <c r="H104" s="15">
        <v>109.873188854</v>
      </c>
      <c r="I104" s="15">
        <v>37.7522002322</v>
      </c>
      <c r="J104" s="21">
        <v>1040.5</v>
      </c>
      <c r="K104" s="21">
        <v>10</v>
      </c>
      <c r="L104" s="18">
        <f t="shared" si="1"/>
        <v>1035.5</v>
      </c>
      <c r="M104" s="22">
        <v>3.167</v>
      </c>
      <c r="N104" s="22">
        <v>8.75</v>
      </c>
      <c r="O104" s="15" t="s">
        <v>104</v>
      </c>
      <c r="P104" s="15">
        <v>400735.4087</v>
      </c>
      <c r="Q104" s="15">
        <v>4178919.3577</v>
      </c>
    </row>
    <row r="105" ht="16.2" customHeight="1" spans="1:17">
      <c r="A105" s="14">
        <v>103</v>
      </c>
      <c r="B105" s="15" t="s">
        <v>184</v>
      </c>
      <c r="C105" s="15" t="s">
        <v>19</v>
      </c>
      <c r="D105" s="15" t="s">
        <v>114</v>
      </c>
      <c r="E105" s="15" t="s">
        <v>186</v>
      </c>
      <c r="F105" s="15" t="s">
        <v>187</v>
      </c>
      <c r="G105" s="15" t="s">
        <v>188</v>
      </c>
      <c r="H105" s="15">
        <v>109.926352611</v>
      </c>
      <c r="I105" s="15">
        <v>37.6930477947</v>
      </c>
      <c r="J105" s="21">
        <v>961.5</v>
      </c>
      <c r="K105" s="21">
        <v>3.5</v>
      </c>
      <c r="L105" s="18">
        <f t="shared" si="1"/>
        <v>959.75</v>
      </c>
      <c r="M105" s="22">
        <v>1.875</v>
      </c>
      <c r="N105" s="22">
        <v>7.056</v>
      </c>
      <c r="O105" s="15" t="s">
        <v>102</v>
      </c>
      <c r="P105" s="15">
        <v>405343.6704</v>
      </c>
      <c r="Q105" s="15">
        <v>4172301.2195</v>
      </c>
    </row>
    <row r="106" ht="16.2" customHeight="1" spans="1:17">
      <c r="A106" s="14">
        <v>104</v>
      </c>
      <c r="B106" s="15" t="s">
        <v>184</v>
      </c>
      <c r="C106" s="15" t="s">
        <v>140</v>
      </c>
      <c r="D106" s="15" t="s">
        <v>148</v>
      </c>
      <c r="E106" s="15" t="s">
        <v>189</v>
      </c>
      <c r="F106" s="15" t="s">
        <v>182</v>
      </c>
      <c r="G106" s="15" t="s">
        <v>183</v>
      </c>
      <c r="H106" s="15">
        <v>109.861958677</v>
      </c>
      <c r="I106" s="15">
        <v>37.7097144647</v>
      </c>
      <c r="J106" s="21">
        <v>1048</v>
      </c>
      <c r="K106" s="21">
        <v>2.5</v>
      </c>
      <c r="L106" s="18">
        <f t="shared" si="1"/>
        <v>1046.75</v>
      </c>
      <c r="M106" s="22">
        <v>3.658</v>
      </c>
      <c r="N106" s="22">
        <v>5.637</v>
      </c>
      <c r="O106" s="15" t="s">
        <v>61</v>
      </c>
      <c r="P106" s="15">
        <v>399688.7668</v>
      </c>
      <c r="Q106" s="15">
        <v>4174217.427</v>
      </c>
    </row>
    <row r="107" ht="16.2" customHeight="1" spans="1:17">
      <c r="A107" s="14">
        <v>105</v>
      </c>
      <c r="B107" s="15" t="s">
        <v>184</v>
      </c>
      <c r="C107" s="15" t="s">
        <v>19</v>
      </c>
      <c r="D107" s="15" t="s">
        <v>124</v>
      </c>
      <c r="E107" s="15" t="s">
        <v>190</v>
      </c>
      <c r="F107" s="15" t="s">
        <v>187</v>
      </c>
      <c r="G107" s="15" t="s">
        <v>183</v>
      </c>
      <c r="H107" s="15">
        <v>109.926776187</v>
      </c>
      <c r="I107" s="15">
        <v>37.745260587</v>
      </c>
      <c r="J107" s="21">
        <v>1024</v>
      </c>
      <c r="K107" s="21">
        <v>8</v>
      </c>
      <c r="L107" s="18">
        <f t="shared" si="1"/>
        <v>1020</v>
      </c>
      <c r="M107" s="22">
        <v>15.537</v>
      </c>
      <c r="N107" s="22">
        <v>37.271</v>
      </c>
      <c r="O107" s="15" t="s">
        <v>61</v>
      </c>
      <c r="P107" s="15">
        <v>405447.4101</v>
      </c>
      <c r="Q107" s="15">
        <v>4178093.8906</v>
      </c>
    </row>
    <row r="108" ht="16.2" customHeight="1" spans="1:17">
      <c r="A108" s="14">
        <v>106</v>
      </c>
      <c r="B108" s="15" t="s">
        <v>184</v>
      </c>
      <c r="C108" s="15" t="s">
        <v>140</v>
      </c>
      <c r="D108" s="15" t="s">
        <v>151</v>
      </c>
      <c r="E108" s="15" t="s">
        <v>191</v>
      </c>
      <c r="F108" s="15" t="s">
        <v>182</v>
      </c>
      <c r="G108" s="15" t="s">
        <v>183</v>
      </c>
      <c r="H108" s="15">
        <v>109.805532043</v>
      </c>
      <c r="I108" s="15">
        <v>37.7232553336</v>
      </c>
      <c r="J108" s="21">
        <v>1098.5</v>
      </c>
      <c r="K108" s="21">
        <v>9.5</v>
      </c>
      <c r="L108" s="18">
        <f t="shared" si="1"/>
        <v>1093.75</v>
      </c>
      <c r="M108" s="22">
        <v>10.585</v>
      </c>
      <c r="N108" s="22">
        <v>29.949</v>
      </c>
      <c r="O108" s="15" t="s">
        <v>98</v>
      </c>
      <c r="P108" s="15">
        <v>394734.0963</v>
      </c>
      <c r="Q108" s="15">
        <v>4175781.7596</v>
      </c>
    </row>
    <row r="109" ht="16.2" customHeight="1" spans="1:17">
      <c r="A109" s="14">
        <v>107</v>
      </c>
      <c r="B109" s="15" t="s">
        <v>184</v>
      </c>
      <c r="C109" s="15" t="s">
        <v>19</v>
      </c>
      <c r="D109" s="15" t="s">
        <v>124</v>
      </c>
      <c r="E109" s="15" t="s">
        <v>192</v>
      </c>
      <c r="F109" s="15" t="s">
        <v>187</v>
      </c>
      <c r="G109" s="15" t="s">
        <v>183</v>
      </c>
      <c r="H109" s="15">
        <v>109.929874594</v>
      </c>
      <c r="I109" s="15">
        <v>37.7400955988</v>
      </c>
      <c r="J109" s="21">
        <v>1036</v>
      </c>
      <c r="K109" s="21">
        <v>14</v>
      </c>
      <c r="L109" s="18">
        <f t="shared" si="1"/>
        <v>1029</v>
      </c>
      <c r="M109" s="22">
        <v>5.67</v>
      </c>
      <c r="N109" s="22">
        <v>15.927</v>
      </c>
      <c r="O109" s="15" t="s">
        <v>193</v>
      </c>
      <c r="P109" s="15">
        <v>405713.8399</v>
      </c>
      <c r="Q109" s="15">
        <v>4177517.6982</v>
      </c>
    </row>
    <row r="110" ht="16.2" customHeight="1" spans="1:17">
      <c r="A110" s="14">
        <v>108</v>
      </c>
      <c r="B110" s="15" t="s">
        <v>184</v>
      </c>
      <c r="C110" s="15" t="s">
        <v>140</v>
      </c>
      <c r="D110" s="15" t="s">
        <v>141</v>
      </c>
      <c r="E110" s="15" t="s">
        <v>194</v>
      </c>
      <c r="F110" s="15" t="s">
        <v>182</v>
      </c>
      <c r="G110" s="15" t="s">
        <v>183</v>
      </c>
      <c r="H110" s="15">
        <v>109.803166073</v>
      </c>
      <c r="I110" s="15">
        <v>37.7385313335</v>
      </c>
      <c r="J110" s="21">
        <v>1104</v>
      </c>
      <c r="K110" s="21">
        <v>9</v>
      </c>
      <c r="L110" s="18">
        <f t="shared" si="1"/>
        <v>1099.5</v>
      </c>
      <c r="M110" s="22">
        <v>8.952</v>
      </c>
      <c r="N110" s="22">
        <v>27.541</v>
      </c>
      <c r="O110" s="15" t="s">
        <v>98</v>
      </c>
      <c r="P110" s="15">
        <v>394547.2499</v>
      </c>
      <c r="Q110" s="15">
        <v>4177479.3424</v>
      </c>
    </row>
    <row r="111" ht="16.2" customHeight="1" spans="1:17">
      <c r="A111" s="14">
        <v>109</v>
      </c>
      <c r="B111" s="15" t="s">
        <v>184</v>
      </c>
      <c r="C111" s="15" t="s">
        <v>19</v>
      </c>
      <c r="D111" s="15" t="s">
        <v>114</v>
      </c>
      <c r="E111" s="15" t="s">
        <v>195</v>
      </c>
      <c r="F111" s="15" t="s">
        <v>187</v>
      </c>
      <c r="G111" s="15" t="s">
        <v>183</v>
      </c>
      <c r="H111" s="15">
        <v>109.9212265</v>
      </c>
      <c r="I111" s="15">
        <v>37.6827420881</v>
      </c>
      <c r="J111" s="21">
        <v>985</v>
      </c>
      <c r="K111" s="21">
        <v>5</v>
      </c>
      <c r="L111" s="18">
        <f t="shared" si="1"/>
        <v>982.5</v>
      </c>
      <c r="M111" s="22">
        <v>0.186</v>
      </c>
      <c r="N111" s="22">
        <v>2.783</v>
      </c>
      <c r="O111" s="15" t="s">
        <v>196</v>
      </c>
      <c r="P111" s="15">
        <v>404878.5585</v>
      </c>
      <c r="Q111" s="15">
        <v>4171162.9801</v>
      </c>
    </row>
    <row r="112" ht="16.2" customHeight="1" spans="1:17">
      <c r="A112" s="14">
        <v>110</v>
      </c>
      <c r="B112" s="15" t="s">
        <v>184</v>
      </c>
      <c r="C112" s="15" t="s">
        <v>19</v>
      </c>
      <c r="D112" s="15" t="s">
        <v>32</v>
      </c>
      <c r="E112" s="15" t="s">
        <v>197</v>
      </c>
      <c r="F112" s="15" t="s">
        <v>198</v>
      </c>
      <c r="G112" s="15" t="s">
        <v>183</v>
      </c>
      <c r="H112" s="15">
        <v>109.86175474</v>
      </c>
      <c r="I112" s="15">
        <v>37.7684023344</v>
      </c>
      <c r="J112" s="21">
        <v>1051</v>
      </c>
      <c r="K112" s="21">
        <v>4</v>
      </c>
      <c r="L112" s="18">
        <f t="shared" si="1"/>
        <v>1049</v>
      </c>
      <c r="M112" s="22">
        <v>1.542</v>
      </c>
      <c r="N112" s="22">
        <v>3.771</v>
      </c>
      <c r="O112" s="15" t="s">
        <v>35</v>
      </c>
      <c r="P112" s="15">
        <v>399749.9777</v>
      </c>
      <c r="Q112" s="15">
        <v>4180729.2227</v>
      </c>
    </row>
    <row r="113" ht="16.2" customHeight="1" spans="1:17">
      <c r="A113" s="14">
        <v>111</v>
      </c>
      <c r="B113" s="15" t="s">
        <v>18</v>
      </c>
      <c r="C113" s="15" t="s">
        <v>19</v>
      </c>
      <c r="D113" s="15" t="s">
        <v>61</v>
      </c>
      <c r="E113" s="15" t="s">
        <v>199</v>
      </c>
      <c r="F113" s="15" t="s">
        <v>187</v>
      </c>
      <c r="G113" s="15" t="s">
        <v>183</v>
      </c>
      <c r="H113" s="15">
        <v>109.890717403</v>
      </c>
      <c r="I113" s="15">
        <v>37.7279223102</v>
      </c>
      <c r="J113" s="21">
        <v>1007.5</v>
      </c>
      <c r="K113" s="21">
        <v>3.5</v>
      </c>
      <c r="L113" s="18">
        <f t="shared" si="1"/>
        <v>1005.75</v>
      </c>
      <c r="M113" s="22">
        <v>0.354</v>
      </c>
      <c r="N113" s="22">
        <v>0.799</v>
      </c>
      <c r="O113" s="15" t="s">
        <v>61</v>
      </c>
      <c r="P113" s="15">
        <v>402247.6818</v>
      </c>
      <c r="Q113" s="15">
        <v>4176207.2121</v>
      </c>
    </row>
    <row r="114" ht="16.2" customHeight="1" spans="1:17">
      <c r="A114" s="14">
        <v>112</v>
      </c>
      <c r="B114" s="15" t="s">
        <v>18</v>
      </c>
      <c r="C114" s="15" t="s">
        <v>19</v>
      </c>
      <c r="D114" s="15" t="s">
        <v>65</v>
      </c>
      <c r="E114" s="15" t="s">
        <v>200</v>
      </c>
      <c r="F114" s="15" t="s">
        <v>182</v>
      </c>
      <c r="G114" s="15" t="s">
        <v>183</v>
      </c>
      <c r="H114" s="15">
        <v>109.89053431</v>
      </c>
      <c r="I114" s="15">
        <v>37.7064095316</v>
      </c>
      <c r="J114" s="21">
        <v>1040</v>
      </c>
      <c r="K114" s="21">
        <v>9</v>
      </c>
      <c r="L114" s="18">
        <f t="shared" si="1"/>
        <v>1035.5</v>
      </c>
      <c r="M114" s="22">
        <v>8.592</v>
      </c>
      <c r="N114" s="22">
        <v>24.054</v>
      </c>
      <c r="O114" s="15" t="s">
        <v>65</v>
      </c>
      <c r="P114" s="15">
        <v>402203.268</v>
      </c>
      <c r="Q114" s="15">
        <v>4173820.517</v>
      </c>
    </row>
    <row r="115" ht="16.2" customHeight="1" spans="1:17">
      <c r="A115" s="14">
        <v>113</v>
      </c>
      <c r="B115" s="15" t="s">
        <v>18</v>
      </c>
      <c r="C115" s="15" t="s">
        <v>19</v>
      </c>
      <c r="D115" s="15" t="s">
        <v>50</v>
      </c>
      <c r="E115" s="15" t="s">
        <v>201</v>
      </c>
      <c r="F115" s="15" t="s">
        <v>182</v>
      </c>
      <c r="G115" s="15" t="s">
        <v>202</v>
      </c>
      <c r="H115" s="15">
        <v>109.9552722</v>
      </c>
      <c r="I115" s="15">
        <v>37.71243333</v>
      </c>
      <c r="J115" s="21">
        <v>1011</v>
      </c>
      <c r="K115" s="21">
        <v>8</v>
      </c>
      <c r="L115" s="18">
        <f t="shared" si="1"/>
        <v>1007</v>
      </c>
      <c r="M115" s="22">
        <v>11.576</v>
      </c>
      <c r="N115" s="22">
        <v>33.179</v>
      </c>
      <c r="O115" s="15" t="s">
        <v>50</v>
      </c>
      <c r="P115" s="15">
        <v>407917.378</v>
      </c>
      <c r="Q115" s="15">
        <v>4174423.244</v>
      </c>
    </row>
    <row r="116" ht="16.2" customHeight="1" spans="1:17">
      <c r="A116" s="14">
        <v>114</v>
      </c>
      <c r="B116" s="15" t="s">
        <v>18</v>
      </c>
      <c r="C116" s="15" t="s">
        <v>19</v>
      </c>
      <c r="D116" s="15" t="s">
        <v>56</v>
      </c>
      <c r="E116" s="15" t="s">
        <v>203</v>
      </c>
      <c r="F116" s="15" t="s">
        <v>187</v>
      </c>
      <c r="G116" s="15" t="s">
        <v>202</v>
      </c>
      <c r="H116" s="15">
        <v>109.942125389</v>
      </c>
      <c r="I116" s="15">
        <v>37.7313827553</v>
      </c>
      <c r="J116" s="21">
        <v>1005</v>
      </c>
      <c r="K116" s="21">
        <v>9</v>
      </c>
      <c r="L116" s="18">
        <f t="shared" si="1"/>
        <v>1000.5</v>
      </c>
      <c r="M116" s="22">
        <v>16.63</v>
      </c>
      <c r="N116" s="22">
        <v>43.77</v>
      </c>
      <c r="O116" s="15" t="s">
        <v>58</v>
      </c>
      <c r="P116" s="15">
        <v>406782.334</v>
      </c>
      <c r="Q116" s="15">
        <v>4176538.7212</v>
      </c>
    </row>
    <row r="117" ht="16.2" customHeight="1" spans="1:17">
      <c r="A117" s="14">
        <v>115</v>
      </c>
      <c r="B117" s="15" t="s">
        <v>184</v>
      </c>
      <c r="C117" s="15" t="s">
        <v>204</v>
      </c>
      <c r="D117" s="15" t="s">
        <v>136</v>
      </c>
      <c r="E117" s="15" t="s">
        <v>205</v>
      </c>
      <c r="F117" s="15" t="s">
        <v>187</v>
      </c>
      <c r="G117" s="15" t="s">
        <v>183</v>
      </c>
      <c r="H117" s="15">
        <v>109.798994327</v>
      </c>
      <c r="I117" s="15">
        <v>37.7554492192</v>
      </c>
      <c r="J117" s="21">
        <v>1137.5</v>
      </c>
      <c r="K117" s="21">
        <v>6.5</v>
      </c>
      <c r="L117" s="18">
        <f t="shared" si="1"/>
        <v>1134.25</v>
      </c>
      <c r="M117" s="22">
        <v>6.41</v>
      </c>
      <c r="N117" s="22">
        <v>17.07</v>
      </c>
      <c r="O117" s="15" t="s">
        <v>24</v>
      </c>
      <c r="P117" s="15">
        <v>394203.7554</v>
      </c>
      <c r="Q117" s="15">
        <v>4179361.1489</v>
      </c>
    </row>
    <row r="118" ht="16.2" customHeight="1" spans="1:17">
      <c r="A118" s="14">
        <v>116</v>
      </c>
      <c r="B118" s="15" t="s">
        <v>184</v>
      </c>
      <c r="C118" s="15" t="s">
        <v>19</v>
      </c>
      <c r="D118" s="15" t="s">
        <v>32</v>
      </c>
      <c r="E118" s="15" t="s">
        <v>206</v>
      </c>
      <c r="F118" s="15" t="s">
        <v>198</v>
      </c>
      <c r="G118" s="15" t="s">
        <v>183</v>
      </c>
      <c r="H118" s="15">
        <v>109.863578768</v>
      </c>
      <c r="I118" s="15">
        <v>37.765978468</v>
      </c>
      <c r="J118" s="21">
        <v>1036</v>
      </c>
      <c r="K118" s="21">
        <v>2.5</v>
      </c>
      <c r="L118" s="18">
        <f t="shared" si="1"/>
        <v>1034.75</v>
      </c>
      <c r="M118" s="19">
        <v>0.1647</v>
      </c>
      <c r="N118" s="22">
        <v>0.883</v>
      </c>
      <c r="O118" s="15" t="s">
        <v>35</v>
      </c>
      <c r="P118" s="15">
        <v>399907.3655</v>
      </c>
      <c r="Q118" s="15">
        <v>4180458.3336</v>
      </c>
    </row>
    <row r="119" ht="16.2" customHeight="1" spans="1:17">
      <c r="A119" s="14">
        <v>117</v>
      </c>
      <c r="B119" s="15" t="s">
        <v>184</v>
      </c>
      <c r="C119" s="15" t="s">
        <v>19</v>
      </c>
      <c r="D119" s="15" t="s">
        <v>32</v>
      </c>
      <c r="E119" s="15" t="s">
        <v>206</v>
      </c>
      <c r="F119" s="15" t="s">
        <v>198</v>
      </c>
      <c r="G119" s="15" t="s">
        <v>188</v>
      </c>
      <c r="H119" s="15">
        <v>109.86343719</v>
      </c>
      <c r="I119" s="15">
        <v>37.7629164983</v>
      </c>
      <c r="J119" s="21">
        <v>1034.8</v>
      </c>
      <c r="K119" s="21">
        <v>4.8</v>
      </c>
      <c r="L119" s="18">
        <f t="shared" si="1"/>
        <v>1032.4</v>
      </c>
      <c r="M119" s="22">
        <v>1.116</v>
      </c>
      <c r="N119" s="22">
        <v>4.976</v>
      </c>
      <c r="O119" s="15" t="s">
        <v>35</v>
      </c>
      <c r="P119" s="15">
        <v>399890.7675</v>
      </c>
      <c r="Q119" s="15">
        <v>4180118.7499</v>
      </c>
    </row>
    <row r="120" ht="16.2" customHeight="1" spans="1:17">
      <c r="A120" s="14">
        <v>118</v>
      </c>
      <c r="B120" s="15" t="s">
        <v>18</v>
      </c>
      <c r="C120" s="15" t="s">
        <v>19</v>
      </c>
      <c r="D120" s="15" t="s">
        <v>56</v>
      </c>
      <c r="E120" s="15" t="s">
        <v>207</v>
      </c>
      <c r="F120" s="15" t="s">
        <v>198</v>
      </c>
      <c r="G120" s="15" t="s">
        <v>183</v>
      </c>
      <c r="H120" s="15">
        <v>109.945307205</v>
      </c>
      <c r="I120" s="15">
        <v>37.7255317749</v>
      </c>
      <c r="J120" s="21">
        <v>999.2</v>
      </c>
      <c r="K120" s="21">
        <v>4.2</v>
      </c>
      <c r="L120" s="18">
        <f t="shared" si="1"/>
        <v>997.1</v>
      </c>
      <c r="M120" s="22">
        <v>0.72</v>
      </c>
      <c r="N120" s="22">
        <v>2.51</v>
      </c>
      <c r="O120" s="15" t="s">
        <v>58</v>
      </c>
      <c r="P120" s="15">
        <v>407055.4037</v>
      </c>
      <c r="Q120" s="15">
        <v>4175886.3813</v>
      </c>
    </row>
    <row r="121" ht="16.2" customHeight="1" spans="1:17">
      <c r="A121" s="14">
        <v>119</v>
      </c>
      <c r="B121" s="15" t="s">
        <v>18</v>
      </c>
      <c r="C121" s="15" t="s">
        <v>19</v>
      </c>
      <c r="D121" s="15" t="s">
        <v>61</v>
      </c>
      <c r="E121" s="15" t="s">
        <v>208</v>
      </c>
      <c r="F121" s="15" t="s">
        <v>187</v>
      </c>
      <c r="G121" s="15" t="s">
        <v>183</v>
      </c>
      <c r="H121" s="15">
        <v>109.912075831</v>
      </c>
      <c r="I121" s="15">
        <v>37.720434898</v>
      </c>
      <c r="J121" s="21">
        <v>985.5</v>
      </c>
      <c r="K121" s="21">
        <v>13.5</v>
      </c>
      <c r="L121" s="18">
        <f t="shared" si="1"/>
        <v>978.75</v>
      </c>
      <c r="M121" s="22">
        <v>3.977</v>
      </c>
      <c r="N121" s="22">
        <v>16.63</v>
      </c>
      <c r="O121" s="15" t="s">
        <v>61</v>
      </c>
      <c r="P121" s="15">
        <v>404120.2368</v>
      </c>
      <c r="Q121" s="15">
        <v>4175354.3825</v>
      </c>
    </row>
    <row r="122" ht="16.2" customHeight="1" spans="1:17">
      <c r="A122" s="14">
        <v>120</v>
      </c>
      <c r="B122" s="15" t="s">
        <v>158</v>
      </c>
      <c r="C122" s="15" t="s">
        <v>167</v>
      </c>
      <c r="D122" s="15" t="s">
        <v>171</v>
      </c>
      <c r="E122" s="15" t="s">
        <v>209</v>
      </c>
      <c r="F122" s="15" t="s">
        <v>198</v>
      </c>
      <c r="G122" s="15" t="s">
        <v>183</v>
      </c>
      <c r="H122" s="15">
        <v>109.850460035</v>
      </c>
      <c r="I122" s="15">
        <v>37.7797719632</v>
      </c>
      <c r="J122" s="21">
        <v>1078.8</v>
      </c>
      <c r="K122" s="21">
        <v>2.5</v>
      </c>
      <c r="L122" s="18">
        <f t="shared" si="1"/>
        <v>1077.55</v>
      </c>
      <c r="M122" s="22">
        <v>0.29</v>
      </c>
      <c r="N122" s="22">
        <v>1.01</v>
      </c>
      <c r="O122" s="15" t="s">
        <v>35</v>
      </c>
      <c r="P122" s="15">
        <v>398770.6779</v>
      </c>
      <c r="Q122" s="15">
        <v>4182002.8881</v>
      </c>
    </row>
    <row r="123" ht="16.2" customHeight="1" spans="1:17">
      <c r="A123" s="14">
        <v>121</v>
      </c>
      <c r="B123" s="15" t="s">
        <v>184</v>
      </c>
      <c r="C123" s="15" t="s">
        <v>19</v>
      </c>
      <c r="D123" s="15" t="s">
        <v>32</v>
      </c>
      <c r="E123" s="15" t="s">
        <v>210</v>
      </c>
      <c r="F123" s="15" t="s">
        <v>198</v>
      </c>
      <c r="G123" s="15" t="s">
        <v>183</v>
      </c>
      <c r="H123" s="15">
        <v>109.854550616</v>
      </c>
      <c r="I123" s="15">
        <v>37.7550321805</v>
      </c>
      <c r="J123" s="21">
        <v>1038.8</v>
      </c>
      <c r="K123" s="21">
        <v>5.8</v>
      </c>
      <c r="L123" s="18">
        <f t="shared" si="1"/>
        <v>1035.9</v>
      </c>
      <c r="M123" s="22">
        <v>0.572</v>
      </c>
      <c r="N123" s="22">
        <v>2.916</v>
      </c>
      <c r="O123" s="15" t="s">
        <v>24</v>
      </c>
      <c r="P123" s="15">
        <v>399097.2953</v>
      </c>
      <c r="Q123" s="15">
        <v>4179253.5076</v>
      </c>
    </row>
    <row r="124" s="9" customFormat="1" ht="16.2" customHeight="1" spans="1:17">
      <c r="A124" s="14">
        <v>122</v>
      </c>
      <c r="B124" s="15" t="s">
        <v>18</v>
      </c>
      <c r="C124" s="15" t="s">
        <v>19</v>
      </c>
      <c r="D124" s="15" t="s">
        <v>120</v>
      </c>
      <c r="E124" s="15" t="s">
        <v>211</v>
      </c>
      <c r="F124" s="15" t="s">
        <v>187</v>
      </c>
      <c r="G124" s="15" t="s">
        <v>188</v>
      </c>
      <c r="H124" s="15">
        <v>109.974144078</v>
      </c>
      <c r="I124" s="15">
        <v>37.6614840227</v>
      </c>
      <c r="J124" s="21">
        <v>932.3</v>
      </c>
      <c r="K124" s="21">
        <v>4.3</v>
      </c>
      <c r="L124" s="18">
        <f t="shared" si="1"/>
        <v>930.15</v>
      </c>
      <c r="M124" s="22">
        <v>0.9636</v>
      </c>
      <c r="N124" s="22">
        <v>12.702</v>
      </c>
      <c r="O124" s="15" t="s">
        <v>43</v>
      </c>
      <c r="P124" s="15">
        <v>409518.9143</v>
      </c>
      <c r="Q124" s="15">
        <v>4168751.9949</v>
      </c>
    </row>
    <row r="125" s="9" customFormat="1" ht="16.2" customHeight="1" spans="1:17">
      <c r="A125" s="14">
        <v>123</v>
      </c>
      <c r="B125" s="15" t="s">
        <v>18</v>
      </c>
      <c r="C125" s="15" t="s">
        <v>19</v>
      </c>
      <c r="D125" s="15" t="s">
        <v>212</v>
      </c>
      <c r="E125" s="15" t="s">
        <v>213</v>
      </c>
      <c r="F125" s="15" t="s">
        <v>187</v>
      </c>
      <c r="G125" s="15" t="s">
        <v>183</v>
      </c>
      <c r="H125" s="15">
        <v>109.970699054</v>
      </c>
      <c r="I125" s="15">
        <v>37.6926193889</v>
      </c>
      <c r="J125" s="21">
        <v>983.3</v>
      </c>
      <c r="K125" s="21">
        <v>6</v>
      </c>
      <c r="L125" s="18">
        <f t="shared" si="1"/>
        <v>980.3</v>
      </c>
      <c r="M125" s="22">
        <v>6.38</v>
      </c>
      <c r="N125" s="22">
        <v>20.695</v>
      </c>
      <c r="O125" s="15" t="s">
        <v>212</v>
      </c>
      <c r="P125" s="15">
        <v>409252.9879</v>
      </c>
      <c r="Q125" s="15">
        <v>4172209.8111</v>
      </c>
    </row>
    <row r="126" ht="16.2" customHeight="1" spans="1:17">
      <c r="A126" s="14">
        <v>124</v>
      </c>
      <c r="B126" s="15" t="s">
        <v>18</v>
      </c>
      <c r="C126" s="15" t="s">
        <v>19</v>
      </c>
      <c r="D126" s="15" t="s">
        <v>212</v>
      </c>
      <c r="E126" s="15" t="s">
        <v>214</v>
      </c>
      <c r="F126" s="15" t="s">
        <v>182</v>
      </c>
      <c r="G126" s="15" t="s">
        <v>202</v>
      </c>
      <c r="H126" s="15">
        <v>109.970282649</v>
      </c>
      <c r="I126" s="15">
        <v>37.6998291558</v>
      </c>
      <c r="J126" s="21">
        <v>1012.2</v>
      </c>
      <c r="K126" s="21">
        <v>14.2</v>
      </c>
      <c r="L126" s="18">
        <f t="shared" si="1"/>
        <v>1005.1</v>
      </c>
      <c r="M126" s="22">
        <v>10.94</v>
      </c>
      <c r="N126" s="22">
        <v>33.06</v>
      </c>
      <c r="O126" s="15" t="s">
        <v>212</v>
      </c>
      <c r="P126" s="15">
        <v>409225.0668</v>
      </c>
      <c r="Q126" s="15">
        <v>4173010.1446</v>
      </c>
    </row>
    <row r="127" ht="16.2" customHeight="1" spans="1:17">
      <c r="A127" s="14">
        <v>125</v>
      </c>
      <c r="B127" s="15" t="s">
        <v>18</v>
      </c>
      <c r="C127" s="15" t="s">
        <v>19</v>
      </c>
      <c r="D127" s="15" t="s">
        <v>212</v>
      </c>
      <c r="E127" s="15" t="s">
        <v>215</v>
      </c>
      <c r="F127" s="15" t="s">
        <v>187</v>
      </c>
      <c r="G127" s="15" t="s">
        <v>183</v>
      </c>
      <c r="H127" s="15">
        <v>109.974173067</v>
      </c>
      <c r="I127" s="15">
        <v>37.6983895819</v>
      </c>
      <c r="J127" s="21">
        <v>1004.5</v>
      </c>
      <c r="K127" s="21">
        <v>8.5</v>
      </c>
      <c r="L127" s="18">
        <f t="shared" si="1"/>
        <v>1000.25</v>
      </c>
      <c r="M127" s="22">
        <v>3.288</v>
      </c>
      <c r="N127" s="22">
        <v>10.028</v>
      </c>
      <c r="O127" s="15" t="s">
        <v>212</v>
      </c>
      <c r="P127" s="15">
        <v>409566.2877</v>
      </c>
      <c r="Q127" s="15">
        <v>4172846.6599</v>
      </c>
    </row>
    <row r="128" ht="16.2" customHeight="1" spans="1:17">
      <c r="A128" s="14">
        <v>126</v>
      </c>
      <c r="B128" s="15" t="s">
        <v>18</v>
      </c>
      <c r="C128" s="15" t="s">
        <v>19</v>
      </c>
      <c r="D128" s="15" t="s">
        <v>74</v>
      </c>
      <c r="E128" s="15" t="s">
        <v>216</v>
      </c>
      <c r="F128" s="15" t="s">
        <v>187</v>
      </c>
      <c r="G128" s="15" t="s">
        <v>188</v>
      </c>
      <c r="H128" s="15">
        <v>109.931762883</v>
      </c>
      <c r="I128" s="15">
        <v>37.6608603263</v>
      </c>
      <c r="J128" s="21">
        <v>970</v>
      </c>
      <c r="K128" s="21">
        <v>2.5</v>
      </c>
      <c r="L128" s="18">
        <f t="shared" si="1"/>
        <v>968.75</v>
      </c>
      <c r="M128" s="22">
        <v>0.445</v>
      </c>
      <c r="N128" s="22">
        <v>1.395</v>
      </c>
      <c r="O128" s="15" t="s">
        <v>76</v>
      </c>
      <c r="P128" s="15">
        <v>405779.9713</v>
      </c>
      <c r="Q128" s="15">
        <v>4168724.5388</v>
      </c>
    </row>
    <row r="129" ht="16.2" customHeight="1" spans="1:17">
      <c r="A129" s="14">
        <v>127</v>
      </c>
      <c r="B129" s="15" t="s">
        <v>18</v>
      </c>
      <c r="C129" s="15" t="s">
        <v>19</v>
      </c>
      <c r="D129" s="15" t="s">
        <v>74</v>
      </c>
      <c r="E129" s="15" t="s">
        <v>217</v>
      </c>
      <c r="F129" s="15" t="s">
        <v>187</v>
      </c>
      <c r="G129" s="15" t="s">
        <v>183</v>
      </c>
      <c r="H129" s="15">
        <v>109.910113655</v>
      </c>
      <c r="I129" s="15">
        <v>37.6599563096</v>
      </c>
      <c r="J129" s="21">
        <v>1020.8</v>
      </c>
      <c r="K129" s="21">
        <v>6.3</v>
      </c>
      <c r="L129" s="18">
        <f t="shared" si="1"/>
        <v>1017.65</v>
      </c>
      <c r="M129" s="22">
        <v>1.051</v>
      </c>
      <c r="N129" s="22">
        <v>2.597</v>
      </c>
      <c r="O129" s="15" t="s">
        <v>76</v>
      </c>
      <c r="P129" s="15">
        <v>403869.2545</v>
      </c>
      <c r="Q129" s="15">
        <v>4168646.2129</v>
      </c>
    </row>
    <row r="130" ht="16.2" customHeight="1" spans="1:17">
      <c r="A130" s="14">
        <v>128</v>
      </c>
      <c r="B130" s="15" t="s">
        <v>18</v>
      </c>
      <c r="C130" s="15" t="s">
        <v>19</v>
      </c>
      <c r="D130" s="15" t="s">
        <v>74</v>
      </c>
      <c r="E130" s="15" t="s">
        <v>218</v>
      </c>
      <c r="F130" s="15" t="s">
        <v>198</v>
      </c>
      <c r="G130" s="15" t="s">
        <v>183</v>
      </c>
      <c r="H130" s="15">
        <v>109.908789722</v>
      </c>
      <c r="I130" s="15">
        <v>37.6665969093</v>
      </c>
      <c r="J130" s="21">
        <v>1019</v>
      </c>
      <c r="K130" s="21">
        <v>1.5</v>
      </c>
      <c r="L130" s="18">
        <f t="shared" si="1"/>
        <v>1018.25</v>
      </c>
      <c r="M130" s="22">
        <v>0.609</v>
      </c>
      <c r="N130" s="22">
        <v>1.006</v>
      </c>
      <c r="O130" s="15" t="s">
        <v>76</v>
      </c>
      <c r="P130" s="15">
        <v>403761.0516</v>
      </c>
      <c r="Q130" s="15">
        <v>4169384.3513</v>
      </c>
    </row>
    <row r="131" ht="16.2" customHeight="1" spans="1:17">
      <c r="A131" s="14">
        <v>129</v>
      </c>
      <c r="B131" s="15" t="s">
        <v>18</v>
      </c>
      <c r="C131" s="15" t="s">
        <v>19</v>
      </c>
      <c r="D131" s="15" t="s">
        <v>219</v>
      </c>
      <c r="E131" s="15" t="s">
        <v>220</v>
      </c>
      <c r="F131" s="15" t="s">
        <v>187</v>
      </c>
      <c r="G131" s="15" t="s">
        <v>183</v>
      </c>
      <c r="H131" s="15">
        <v>109.935779909</v>
      </c>
      <c r="I131" s="15">
        <v>37.6632129589</v>
      </c>
      <c r="J131" s="21">
        <v>995</v>
      </c>
      <c r="K131" s="21">
        <v>2</v>
      </c>
      <c r="L131" s="18">
        <f t="shared" si="1"/>
        <v>994</v>
      </c>
      <c r="M131" s="22">
        <v>0.177</v>
      </c>
      <c r="N131" s="22">
        <v>0.667</v>
      </c>
      <c r="O131" s="15" t="s">
        <v>76</v>
      </c>
      <c r="P131" s="15">
        <v>406137.2519</v>
      </c>
      <c r="Q131" s="15">
        <v>4168981.5357</v>
      </c>
    </row>
    <row r="132" ht="16.2" customHeight="1" spans="1:17">
      <c r="A132" s="14">
        <v>130</v>
      </c>
      <c r="B132" s="15" t="s">
        <v>18</v>
      </c>
      <c r="C132" s="15" t="s">
        <v>19</v>
      </c>
      <c r="D132" s="15" t="s">
        <v>120</v>
      </c>
      <c r="E132" s="15" t="s">
        <v>221</v>
      </c>
      <c r="F132" s="15" t="s">
        <v>182</v>
      </c>
      <c r="G132" s="15" t="s">
        <v>202</v>
      </c>
      <c r="H132" s="15">
        <v>109.94508265</v>
      </c>
      <c r="I132" s="15">
        <v>37.6648519316</v>
      </c>
      <c r="J132" s="21">
        <v>988</v>
      </c>
      <c r="K132" s="21">
        <v>7</v>
      </c>
      <c r="L132" s="18">
        <f t="shared" ref="L132:L148" si="2">J132-K132/2</f>
        <v>984.5</v>
      </c>
      <c r="M132" s="22">
        <v>3.885</v>
      </c>
      <c r="N132" s="22">
        <v>14.224</v>
      </c>
      <c r="O132" s="15" t="s">
        <v>76</v>
      </c>
      <c r="P132" s="15">
        <v>406959.8107</v>
      </c>
      <c r="Q132" s="15">
        <v>4169154.1081</v>
      </c>
    </row>
    <row r="133" ht="16.2" customHeight="1" spans="1:17">
      <c r="A133" s="14">
        <v>131</v>
      </c>
      <c r="B133" s="15" t="s">
        <v>18</v>
      </c>
      <c r="C133" s="15" t="s">
        <v>19</v>
      </c>
      <c r="D133" s="15" t="s">
        <v>89</v>
      </c>
      <c r="E133" s="15" t="s">
        <v>222</v>
      </c>
      <c r="F133" s="15" t="s">
        <v>187</v>
      </c>
      <c r="G133" s="15" t="s">
        <v>183</v>
      </c>
      <c r="H133" s="15">
        <v>109.908040754</v>
      </c>
      <c r="I133" s="15">
        <v>37.7334980588</v>
      </c>
      <c r="J133" s="21">
        <v>992</v>
      </c>
      <c r="K133" s="21">
        <v>13</v>
      </c>
      <c r="L133" s="18">
        <f t="shared" si="2"/>
        <v>985.5</v>
      </c>
      <c r="M133" s="22">
        <v>8.628</v>
      </c>
      <c r="N133" s="22">
        <v>27.365</v>
      </c>
      <c r="O133" s="15" t="s">
        <v>91</v>
      </c>
      <c r="P133" s="15">
        <v>403781.5152</v>
      </c>
      <c r="Q133" s="15">
        <v>4176807.9062</v>
      </c>
    </row>
    <row r="134" ht="16.2" customHeight="1" spans="1:17">
      <c r="A134" s="14">
        <v>132</v>
      </c>
      <c r="B134" s="15" t="s">
        <v>18</v>
      </c>
      <c r="C134" s="15" t="s">
        <v>19</v>
      </c>
      <c r="D134" s="15" t="s">
        <v>20</v>
      </c>
      <c r="E134" s="15" t="s">
        <v>223</v>
      </c>
      <c r="F134" s="15" t="s">
        <v>198</v>
      </c>
      <c r="G134" s="15" t="s">
        <v>183</v>
      </c>
      <c r="H134" s="15">
        <v>109.826004638</v>
      </c>
      <c r="I134" s="15">
        <v>37.7711463288</v>
      </c>
      <c r="J134" s="21">
        <v>1107.5</v>
      </c>
      <c r="K134" s="15">
        <v>2</v>
      </c>
      <c r="L134" s="18">
        <f t="shared" si="2"/>
        <v>1106.5</v>
      </c>
      <c r="M134" s="22">
        <v>0.662</v>
      </c>
      <c r="N134" s="22">
        <v>1.258</v>
      </c>
      <c r="O134" s="15" t="s">
        <v>24</v>
      </c>
      <c r="P134" s="15">
        <v>396605.0286</v>
      </c>
      <c r="Q134" s="15">
        <v>4181072.5982</v>
      </c>
    </row>
    <row r="135" ht="16.2" customHeight="1" spans="1:17">
      <c r="A135" s="14">
        <v>133</v>
      </c>
      <c r="B135" s="15" t="s">
        <v>158</v>
      </c>
      <c r="C135" s="15" t="s">
        <v>159</v>
      </c>
      <c r="D135" s="15" t="s">
        <v>164</v>
      </c>
      <c r="E135" s="15" t="s">
        <v>224</v>
      </c>
      <c r="F135" s="15" t="s">
        <v>198</v>
      </c>
      <c r="G135" s="15" t="s">
        <v>183</v>
      </c>
      <c r="H135" s="15">
        <v>109.946377772</v>
      </c>
      <c r="I135" s="15">
        <v>37.7437761772</v>
      </c>
      <c r="J135" s="21">
        <v>1027.5</v>
      </c>
      <c r="K135" s="21">
        <v>2.5</v>
      </c>
      <c r="L135" s="18">
        <f t="shared" si="2"/>
        <v>1026.25</v>
      </c>
      <c r="M135" s="22">
        <v>0.17</v>
      </c>
      <c r="N135" s="22">
        <v>0.76</v>
      </c>
      <c r="O135" s="15" t="s">
        <v>58</v>
      </c>
      <c r="P135" s="15">
        <v>407172.534</v>
      </c>
      <c r="Q135" s="15">
        <v>4177909.5687</v>
      </c>
    </row>
    <row r="136" ht="16.2" customHeight="1" spans="1:17">
      <c r="A136" s="14">
        <v>134</v>
      </c>
      <c r="B136" s="15" t="s">
        <v>184</v>
      </c>
      <c r="C136" s="15" t="s">
        <v>19</v>
      </c>
      <c r="D136" s="15" t="s">
        <v>32</v>
      </c>
      <c r="E136" s="15" t="s">
        <v>225</v>
      </c>
      <c r="F136" s="15" t="s">
        <v>198</v>
      </c>
      <c r="G136" s="15" t="s">
        <v>183</v>
      </c>
      <c r="H136" s="15">
        <v>109.85394008</v>
      </c>
      <c r="I136" s="15">
        <v>37.7582295965</v>
      </c>
      <c r="J136" s="21">
        <v>1053.9</v>
      </c>
      <c r="K136" s="21">
        <v>5.4</v>
      </c>
      <c r="L136" s="18">
        <f t="shared" si="2"/>
        <v>1051.2</v>
      </c>
      <c r="M136" s="22">
        <v>1.768</v>
      </c>
      <c r="N136" s="22">
        <v>4.024</v>
      </c>
      <c r="O136" s="15" t="s">
        <v>24</v>
      </c>
      <c r="P136" s="15">
        <v>399047.8569</v>
      </c>
      <c r="Q136" s="15">
        <v>4179608.9294</v>
      </c>
    </row>
    <row r="137" ht="16.2" customHeight="1" spans="1:17">
      <c r="A137" s="14">
        <v>135</v>
      </c>
      <c r="B137" s="15" t="s">
        <v>18</v>
      </c>
      <c r="C137" s="15" t="s">
        <v>19</v>
      </c>
      <c r="D137" s="15" t="s">
        <v>61</v>
      </c>
      <c r="E137" s="15" t="s">
        <v>226</v>
      </c>
      <c r="F137" s="15" t="s">
        <v>187</v>
      </c>
      <c r="G137" s="15" t="s">
        <v>183</v>
      </c>
      <c r="H137" s="15">
        <v>109.898115488</v>
      </c>
      <c r="I137" s="15">
        <v>37.7284739013</v>
      </c>
      <c r="J137" s="21">
        <v>1013</v>
      </c>
      <c r="K137" s="21">
        <v>5</v>
      </c>
      <c r="L137" s="18">
        <f t="shared" si="2"/>
        <v>1010.5</v>
      </c>
      <c r="M137" s="22">
        <v>2.159</v>
      </c>
      <c r="N137" s="22">
        <v>4.155</v>
      </c>
      <c r="O137" s="15" t="s">
        <v>61</v>
      </c>
      <c r="P137" s="15">
        <v>402900.3574</v>
      </c>
      <c r="Q137" s="15">
        <v>4176260.7134</v>
      </c>
    </row>
    <row r="138" ht="16.2" customHeight="1" spans="1:17">
      <c r="A138" s="14">
        <v>136</v>
      </c>
      <c r="B138" s="15" t="s">
        <v>18</v>
      </c>
      <c r="C138" s="15" t="s">
        <v>19</v>
      </c>
      <c r="D138" s="15" t="s">
        <v>65</v>
      </c>
      <c r="E138" s="15" t="s">
        <v>227</v>
      </c>
      <c r="F138" s="15" t="s">
        <v>187</v>
      </c>
      <c r="G138" s="15" t="s">
        <v>183</v>
      </c>
      <c r="H138" s="15">
        <v>109.890253511</v>
      </c>
      <c r="I138" s="15">
        <v>37.7081930889</v>
      </c>
      <c r="J138" s="21">
        <v>1044</v>
      </c>
      <c r="K138" s="21">
        <v>11</v>
      </c>
      <c r="L138" s="18">
        <f t="shared" si="2"/>
        <v>1038.5</v>
      </c>
      <c r="M138" s="22">
        <v>2.818</v>
      </c>
      <c r="N138" s="22">
        <v>8.862</v>
      </c>
      <c r="O138" s="15" t="s">
        <v>65</v>
      </c>
      <c r="P138" s="15">
        <v>402180.86</v>
      </c>
      <c r="Q138" s="15">
        <v>4174018.6992</v>
      </c>
    </row>
    <row r="139" ht="16.2" customHeight="1" spans="1:17">
      <c r="A139" s="14">
        <v>137</v>
      </c>
      <c r="B139" s="15" t="s">
        <v>18</v>
      </c>
      <c r="C139" s="15" t="s">
        <v>19</v>
      </c>
      <c r="D139" s="15" t="s">
        <v>50</v>
      </c>
      <c r="E139" s="15" t="s">
        <v>228</v>
      </c>
      <c r="F139" s="15" t="s">
        <v>198</v>
      </c>
      <c r="G139" s="15" t="s">
        <v>183</v>
      </c>
      <c r="H139" s="15">
        <v>109.950854757</v>
      </c>
      <c r="I139" s="15">
        <v>37.7073030253</v>
      </c>
      <c r="J139" s="21">
        <v>1006</v>
      </c>
      <c r="K139" s="21">
        <v>11</v>
      </c>
      <c r="L139" s="18">
        <f t="shared" si="2"/>
        <v>1000.5</v>
      </c>
      <c r="M139" s="22">
        <v>1.49</v>
      </c>
      <c r="N139" s="22">
        <v>5.326</v>
      </c>
      <c r="O139" s="15" t="s">
        <v>50</v>
      </c>
      <c r="P139" s="15">
        <v>407521.6362</v>
      </c>
      <c r="Q139" s="15">
        <v>4173858.3824</v>
      </c>
    </row>
    <row r="140" ht="16.2" customHeight="1" spans="1:17">
      <c r="A140" s="14">
        <v>138</v>
      </c>
      <c r="B140" s="15" t="s">
        <v>18</v>
      </c>
      <c r="C140" s="15" t="s">
        <v>19</v>
      </c>
      <c r="D140" s="15" t="s">
        <v>56</v>
      </c>
      <c r="E140" s="15" t="s">
        <v>229</v>
      </c>
      <c r="F140" s="15" t="s">
        <v>198</v>
      </c>
      <c r="G140" s="15" t="s">
        <v>183</v>
      </c>
      <c r="H140" s="15">
        <v>109.937044445</v>
      </c>
      <c r="I140" s="15">
        <v>37.7226254058</v>
      </c>
      <c r="J140" s="21">
        <v>976.5</v>
      </c>
      <c r="K140" s="21">
        <v>4.5</v>
      </c>
      <c r="L140" s="18">
        <f t="shared" si="2"/>
        <v>974.25</v>
      </c>
      <c r="M140" s="22">
        <v>0.94</v>
      </c>
      <c r="N140" s="22">
        <v>2.89</v>
      </c>
      <c r="O140" s="15" t="s">
        <v>58</v>
      </c>
      <c r="P140" s="15">
        <v>406323.5676</v>
      </c>
      <c r="Q140" s="15">
        <v>4175572.1495</v>
      </c>
    </row>
    <row r="141" ht="16.2" customHeight="1" spans="1:17">
      <c r="A141" s="14">
        <v>139</v>
      </c>
      <c r="B141" s="15" t="s">
        <v>18</v>
      </c>
      <c r="C141" s="15" t="s">
        <v>19</v>
      </c>
      <c r="D141" s="15" t="s">
        <v>56</v>
      </c>
      <c r="E141" s="15" t="s">
        <v>230</v>
      </c>
      <c r="F141" s="15" t="s">
        <v>198</v>
      </c>
      <c r="G141" s="15" t="s">
        <v>183</v>
      </c>
      <c r="H141" s="15">
        <v>109.942828914</v>
      </c>
      <c r="I141" s="15">
        <v>37.7230941596</v>
      </c>
      <c r="J141" s="21">
        <v>996</v>
      </c>
      <c r="K141" s="21">
        <v>3</v>
      </c>
      <c r="L141" s="18">
        <f t="shared" si="2"/>
        <v>994.5</v>
      </c>
      <c r="M141" s="22">
        <v>0.13</v>
      </c>
      <c r="N141" s="22">
        <v>0.53</v>
      </c>
      <c r="O141" s="15" t="s">
        <v>58</v>
      </c>
      <c r="P141" s="15">
        <v>406833.9448</v>
      </c>
      <c r="Q141" s="15">
        <v>4175618.387</v>
      </c>
    </row>
    <row r="142" ht="16.2" customHeight="1" spans="1:17">
      <c r="A142" s="14">
        <v>140</v>
      </c>
      <c r="B142" s="15" t="s">
        <v>18</v>
      </c>
      <c r="C142" s="15" t="s">
        <v>19</v>
      </c>
      <c r="D142" s="15" t="s">
        <v>124</v>
      </c>
      <c r="E142" s="15" t="s">
        <v>231</v>
      </c>
      <c r="F142" s="15" t="s">
        <v>198</v>
      </c>
      <c r="G142" s="15" t="s">
        <v>183</v>
      </c>
      <c r="H142" s="15">
        <v>109.924328605</v>
      </c>
      <c r="I142" s="15">
        <v>37.7356862673</v>
      </c>
      <c r="J142" s="21">
        <v>1005</v>
      </c>
      <c r="K142" s="21">
        <v>5</v>
      </c>
      <c r="L142" s="18">
        <f t="shared" si="2"/>
        <v>1002.5</v>
      </c>
      <c r="M142" s="22">
        <v>1.417</v>
      </c>
      <c r="N142" s="22">
        <v>4.41</v>
      </c>
      <c r="O142" s="15" t="s">
        <v>193</v>
      </c>
      <c r="P142" s="15">
        <v>405219.5595</v>
      </c>
      <c r="Q142" s="15">
        <v>4177034.0752</v>
      </c>
    </row>
    <row r="143" ht="16.2" customHeight="1" spans="1:17">
      <c r="A143" s="14">
        <v>141</v>
      </c>
      <c r="B143" s="15" t="s">
        <v>184</v>
      </c>
      <c r="C143" s="15" t="s">
        <v>19</v>
      </c>
      <c r="D143" s="15" t="s">
        <v>124</v>
      </c>
      <c r="E143" s="15" t="s">
        <v>232</v>
      </c>
      <c r="F143" s="15" t="s">
        <v>198</v>
      </c>
      <c r="G143" s="15" t="s">
        <v>183</v>
      </c>
      <c r="H143" s="15">
        <v>109.935918166</v>
      </c>
      <c r="I143" s="15">
        <v>37.747243706</v>
      </c>
      <c r="J143" s="21">
        <v>1037</v>
      </c>
      <c r="K143" s="21">
        <v>5</v>
      </c>
      <c r="L143" s="18">
        <f t="shared" si="2"/>
        <v>1034.5</v>
      </c>
      <c r="M143" s="22">
        <v>1.781</v>
      </c>
      <c r="N143" s="22">
        <v>5.483</v>
      </c>
      <c r="O143" s="15" t="s">
        <v>193</v>
      </c>
      <c r="P143" s="15">
        <v>406255.3572</v>
      </c>
      <c r="Q143" s="15">
        <v>4178304.7245</v>
      </c>
    </row>
    <row r="144" ht="16.2" customHeight="1" spans="1:17">
      <c r="A144" s="14">
        <v>142</v>
      </c>
      <c r="B144" s="15" t="s">
        <v>184</v>
      </c>
      <c r="C144" s="15" t="s">
        <v>19</v>
      </c>
      <c r="D144" s="15" t="s">
        <v>124</v>
      </c>
      <c r="E144" s="15" t="s">
        <v>227</v>
      </c>
      <c r="F144" s="15" t="s">
        <v>187</v>
      </c>
      <c r="G144" s="15" t="s">
        <v>183</v>
      </c>
      <c r="H144" s="15">
        <v>109.9256151</v>
      </c>
      <c r="I144" s="15">
        <v>37.7514910439</v>
      </c>
      <c r="J144" s="21">
        <v>1032.5</v>
      </c>
      <c r="K144" s="21">
        <v>3</v>
      </c>
      <c r="L144" s="18">
        <f t="shared" si="2"/>
        <v>1031</v>
      </c>
      <c r="M144" s="22">
        <v>1.066</v>
      </c>
      <c r="N144" s="22">
        <v>2.115</v>
      </c>
      <c r="O144" s="15" t="s">
        <v>91</v>
      </c>
      <c r="P144" s="15">
        <v>405353.0502</v>
      </c>
      <c r="Q144" s="15">
        <v>4178786.3476</v>
      </c>
    </row>
    <row r="145" ht="16.2" customHeight="1" spans="1:17">
      <c r="A145" s="14">
        <v>143</v>
      </c>
      <c r="B145" s="15" t="s">
        <v>184</v>
      </c>
      <c r="C145" s="15" t="s">
        <v>19</v>
      </c>
      <c r="D145" s="15" t="s">
        <v>124</v>
      </c>
      <c r="E145" s="15" t="s">
        <v>233</v>
      </c>
      <c r="F145" s="15" t="s">
        <v>187</v>
      </c>
      <c r="G145" s="15" t="s">
        <v>183</v>
      </c>
      <c r="H145" s="15">
        <v>109.927875588</v>
      </c>
      <c r="I145" s="15">
        <v>37.7503489026</v>
      </c>
      <c r="J145" s="21">
        <v>1028</v>
      </c>
      <c r="K145" s="21">
        <v>5</v>
      </c>
      <c r="L145" s="18">
        <f t="shared" si="2"/>
        <v>1025.5</v>
      </c>
      <c r="M145" s="22">
        <v>1.742</v>
      </c>
      <c r="N145" s="22">
        <v>7.805</v>
      </c>
      <c r="O145" s="15" t="s">
        <v>91</v>
      </c>
      <c r="P145" s="15">
        <v>405550.7397</v>
      </c>
      <c r="Q145" s="15">
        <v>4178657.3403</v>
      </c>
    </row>
    <row r="146" ht="16.2" customHeight="1" spans="1:17">
      <c r="A146" s="14">
        <v>144</v>
      </c>
      <c r="B146" s="15" t="s">
        <v>158</v>
      </c>
      <c r="C146" s="15" t="s">
        <v>173</v>
      </c>
      <c r="D146" s="15" t="s">
        <v>174</v>
      </c>
      <c r="E146" s="15" t="s">
        <v>234</v>
      </c>
      <c r="F146" s="15" t="s">
        <v>187</v>
      </c>
      <c r="G146" s="15" t="s">
        <v>183</v>
      </c>
      <c r="H146" s="15">
        <v>109.92601247</v>
      </c>
      <c r="I146" s="15">
        <v>37.7700698754</v>
      </c>
      <c r="J146" s="21">
        <v>1063</v>
      </c>
      <c r="K146" s="21">
        <v>6</v>
      </c>
      <c r="L146" s="18">
        <f t="shared" si="2"/>
        <v>1060</v>
      </c>
      <c r="M146" s="22">
        <v>2.43</v>
      </c>
      <c r="N146" s="22">
        <v>6.529</v>
      </c>
      <c r="O146" s="15" t="s">
        <v>91</v>
      </c>
      <c r="P146" s="15">
        <v>405411.7215</v>
      </c>
      <c r="Q146" s="15">
        <v>4180847.3132</v>
      </c>
    </row>
    <row r="147" ht="16.2" customHeight="1" spans="1:17">
      <c r="A147" s="14">
        <v>145</v>
      </c>
      <c r="B147" s="15" t="s">
        <v>158</v>
      </c>
      <c r="C147" s="15" t="s">
        <v>173</v>
      </c>
      <c r="D147" s="15" t="s">
        <v>177</v>
      </c>
      <c r="E147" s="15" t="s">
        <v>235</v>
      </c>
      <c r="F147" s="15" t="s">
        <v>187</v>
      </c>
      <c r="G147" s="15" t="s">
        <v>183</v>
      </c>
      <c r="H147" s="15">
        <v>109.915076467</v>
      </c>
      <c r="I147" s="15">
        <v>37.7774557224</v>
      </c>
      <c r="J147" s="21">
        <v>1071</v>
      </c>
      <c r="K147" s="21">
        <v>3</v>
      </c>
      <c r="L147" s="18">
        <f t="shared" si="2"/>
        <v>1069.5</v>
      </c>
      <c r="M147" s="22">
        <v>0.459</v>
      </c>
      <c r="N147" s="22">
        <v>2.023</v>
      </c>
      <c r="O147" s="15" t="s">
        <v>91</v>
      </c>
      <c r="P147" s="15">
        <v>404458.0426</v>
      </c>
      <c r="Q147" s="15">
        <v>4181677.9096</v>
      </c>
    </row>
    <row r="148" ht="16.2" customHeight="1" spans="1:17">
      <c r="A148" s="14">
        <v>146</v>
      </c>
      <c r="B148" s="15" t="s">
        <v>18</v>
      </c>
      <c r="C148" s="15" t="s">
        <v>19</v>
      </c>
      <c r="D148" s="15" t="s">
        <v>89</v>
      </c>
      <c r="E148" s="15" t="s">
        <v>236</v>
      </c>
      <c r="F148" s="15" t="s">
        <v>198</v>
      </c>
      <c r="G148" s="15" t="s">
        <v>188</v>
      </c>
      <c r="H148" s="15">
        <v>109.895017096</v>
      </c>
      <c r="I148" s="15">
        <v>37.7475345158</v>
      </c>
      <c r="J148" s="21">
        <v>1011</v>
      </c>
      <c r="K148" s="21">
        <v>2</v>
      </c>
      <c r="L148" s="18">
        <f t="shared" si="2"/>
        <v>1010</v>
      </c>
      <c r="M148" s="22">
        <v>0.279</v>
      </c>
      <c r="N148" s="22">
        <v>0.415</v>
      </c>
      <c r="O148" s="15" t="s">
        <v>39</v>
      </c>
      <c r="P148" s="15">
        <v>402652.2801</v>
      </c>
      <c r="Q148" s="15">
        <v>4178378.7516</v>
      </c>
    </row>
  </sheetData>
  <mergeCells count="1">
    <mergeCell ref="A1:Q1"/>
  </mergeCells>
  <conditionalFormatting sqref="A3:A148">
    <cfRule type="expression" dxfId="0" priority="45">
      <formula>COUNTIF(#REF!,A3)&gt;0</formula>
    </cfRule>
    <cfRule type="expression" dxfId="0" priority="46">
      <formula>"   =COUNTIF(Sheet2!$A$1:$A$114, A7)&gt;0"</formula>
    </cfRule>
    <cfRule type="expression" dxfId="0" priority="47">
      <formula>COUNTIF($P$3:$P$69,A3)&gt;0</formula>
    </cfRule>
    <cfRule type="expression" dxfId="0" priority="48">
      <formula>"   =COUNTIF($AP$7:$AP$120, A7)&gt;0"</formula>
    </cfRule>
  </conditionalFormatting>
  <dataValidations count="6">
    <dataValidation allowBlank="1" showInputMessage="1" showErrorMessage="1" sqref="F2:G2"/>
    <dataValidation allowBlank="1" showInputMessage="1" showErrorMessage="1" prompt="坝名只填写坝的名称，不应加县镇村名及类型（名称后不应加“坝”字）；" sqref="E3:E132 E134:E1048576"/>
    <dataValidation type="list" allowBlank="1" showInputMessage="1" showErrorMessage="1" sqref="F3:F1048576">
      <formula1>"大1型坝,大2型坝,中型坝,小型坝"</formula1>
    </dataValidation>
    <dataValidation type="list" allowBlank="1" showInputMessage="1" showErrorMessage="1" sqref="G3:G1048576">
      <formula1>"一大件（坝体）,两大件（坝体、卧管）,两大件（坝体、竖井）,两大件（坝体、溢洪道）,三大件（坝体、卧管、溢洪道）,三大件（坝体、竖井、溢洪道）"</formula1>
    </dataValidation>
    <dataValidation allowBlank="1" showInputMessage="1" showErrorMessage="1" prompt="经度：按度、分、秒填写，如××º××'××××&quot;；" sqref="H3:H1048576"/>
    <dataValidation allowBlank="1" showInputMessage="1" showErrorMessage="1" prompt="纬度：按度、分、秒填写，如××º××'××××&quot;；" sqref="I3:I1048576"/>
  </dataValidations>
  <pageMargins left="0.432638888888889" right="0.118055555555556" top="1" bottom="1" header="0.5" footer="0.5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9"/>
  <sheetViews>
    <sheetView workbookViewId="0">
      <selection activeCell="Y14" sqref="Y14"/>
    </sheetView>
  </sheetViews>
  <sheetFormatPr defaultColWidth="8.88888888888889" defaultRowHeight="14.4"/>
  <cols>
    <col min="13" max="13" width="15.4444444444444" customWidth="1"/>
  </cols>
  <sheetData>
    <row r="1" ht="15.6" customHeight="1" spans="1:15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238</v>
      </c>
      <c r="N1" s="1"/>
      <c r="O1" s="1"/>
    </row>
    <row r="2" ht="15.6" customHeight="1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.6" customHeight="1" spans="1:15">
      <c r="A3" s="2" t="s">
        <v>239</v>
      </c>
      <c r="B3" s="2" t="s">
        <v>240</v>
      </c>
      <c r="C3" s="2" t="s">
        <v>241</v>
      </c>
      <c r="D3" s="2" t="s">
        <v>242</v>
      </c>
      <c r="E3" s="2" t="s">
        <v>243</v>
      </c>
      <c r="F3" s="2" t="s">
        <v>244</v>
      </c>
      <c r="G3" s="2" t="s">
        <v>245</v>
      </c>
      <c r="H3" s="2" t="s">
        <v>246</v>
      </c>
      <c r="I3" s="2" t="s">
        <v>247</v>
      </c>
      <c r="J3" s="2" t="s">
        <v>248</v>
      </c>
      <c r="K3" s="2" t="s">
        <v>249</v>
      </c>
      <c r="L3" s="3" t="s">
        <v>250</v>
      </c>
      <c r="M3" s="3" t="s">
        <v>251</v>
      </c>
      <c r="N3" s="3" t="s">
        <v>252</v>
      </c>
      <c r="O3" s="3" t="s">
        <v>253</v>
      </c>
    </row>
    <row r="4" ht="15.6" customHeight="1" spans="1:15">
      <c r="A4" s="3">
        <v>1</v>
      </c>
      <c r="B4" s="3">
        <v>4</v>
      </c>
      <c r="C4" s="3">
        <v>3</v>
      </c>
      <c r="D4" s="3">
        <v>0.59107</v>
      </c>
      <c r="E4" s="3">
        <v>49.31</v>
      </c>
      <c r="F4" s="3">
        <v>0</v>
      </c>
      <c r="G4" s="3">
        <v>0</v>
      </c>
      <c r="H4" s="3">
        <v>0.1</v>
      </c>
      <c r="I4" s="3">
        <v>4</v>
      </c>
      <c r="J4" s="3">
        <v>1.202</v>
      </c>
      <c r="K4" s="3">
        <v>2.0853</v>
      </c>
      <c r="L4" s="3">
        <v>0</v>
      </c>
      <c r="M4" s="3" t="s">
        <v>254</v>
      </c>
      <c r="N4" s="3">
        <v>396440.6004</v>
      </c>
      <c r="O4" s="3">
        <v>4180073.249</v>
      </c>
    </row>
    <row r="5" ht="15.6" customHeight="1" spans="1:21">
      <c r="A5" s="3">
        <v>2</v>
      </c>
      <c r="B5" s="3">
        <v>0</v>
      </c>
      <c r="C5" s="3">
        <v>2.5</v>
      </c>
      <c r="D5" s="3">
        <v>0.26052</v>
      </c>
      <c r="E5" s="3">
        <v>26.42</v>
      </c>
      <c r="F5" s="3">
        <v>0</v>
      </c>
      <c r="G5" s="3">
        <v>0</v>
      </c>
      <c r="H5" s="3">
        <v>0</v>
      </c>
      <c r="I5" s="3">
        <v>0</v>
      </c>
      <c r="J5" s="3">
        <v>1.2824</v>
      </c>
      <c r="K5" s="3">
        <v>0.8312</v>
      </c>
      <c r="L5" s="3">
        <v>0</v>
      </c>
      <c r="M5" s="3" t="s">
        <v>255</v>
      </c>
      <c r="N5" s="3">
        <v>396453.9711</v>
      </c>
      <c r="O5" s="3">
        <v>4181056.047</v>
      </c>
      <c r="Q5" s="4" t="s">
        <v>256</v>
      </c>
      <c r="R5" s="4"/>
      <c r="S5" s="4"/>
      <c r="T5" s="4"/>
      <c r="U5" s="4"/>
    </row>
    <row r="6" ht="15.6" customHeight="1" spans="1:21">
      <c r="A6" s="3">
        <v>3</v>
      </c>
      <c r="B6" s="3">
        <v>1</v>
      </c>
      <c r="C6" s="3">
        <v>13.5</v>
      </c>
      <c r="D6" s="3">
        <v>0.74231</v>
      </c>
      <c r="E6" s="3">
        <v>462.64</v>
      </c>
      <c r="F6" s="3">
        <v>0</v>
      </c>
      <c r="G6" s="3">
        <v>0</v>
      </c>
      <c r="H6" s="3">
        <v>10.5</v>
      </c>
      <c r="I6" s="3">
        <v>4</v>
      </c>
      <c r="J6" s="3">
        <v>1.8022</v>
      </c>
      <c r="K6" s="3">
        <v>5.0517</v>
      </c>
      <c r="L6" s="3">
        <v>0</v>
      </c>
      <c r="M6" s="3" t="s">
        <v>257</v>
      </c>
      <c r="N6" s="3">
        <v>397000.8144</v>
      </c>
      <c r="O6" s="3">
        <v>4179903.778</v>
      </c>
      <c r="Q6" s="5" t="s">
        <v>258</v>
      </c>
      <c r="R6" s="6">
        <v>146</v>
      </c>
      <c r="S6" s="7" t="s">
        <v>259</v>
      </c>
      <c r="T6" s="7"/>
      <c r="U6" s="7"/>
    </row>
    <row r="7" ht="15.6" spans="1:21">
      <c r="A7" s="3">
        <v>4</v>
      </c>
      <c r="B7" s="3">
        <v>0</v>
      </c>
      <c r="C7" s="3">
        <v>5.5</v>
      </c>
      <c r="D7" s="3">
        <v>0.71687</v>
      </c>
      <c r="E7" s="3">
        <v>492.1</v>
      </c>
      <c r="F7" s="3">
        <v>0</v>
      </c>
      <c r="G7" s="3">
        <v>0</v>
      </c>
      <c r="H7" s="3">
        <v>0</v>
      </c>
      <c r="I7" s="3">
        <v>0</v>
      </c>
      <c r="J7" s="3">
        <v>7.4291</v>
      </c>
      <c r="K7" s="3">
        <v>10.465</v>
      </c>
      <c r="L7" s="3">
        <v>0</v>
      </c>
      <c r="M7" s="3" t="s">
        <v>260</v>
      </c>
      <c r="N7" s="3">
        <v>395552.9037</v>
      </c>
      <c r="O7" s="3">
        <v>4179932.752</v>
      </c>
      <c r="Q7" s="5" t="s">
        <v>261</v>
      </c>
      <c r="R7" s="6">
        <v>171</v>
      </c>
      <c r="S7" s="7" t="s">
        <v>262</v>
      </c>
      <c r="T7" s="7"/>
      <c r="U7" s="7"/>
    </row>
    <row r="8" ht="15.6" customHeight="1" spans="1:21">
      <c r="A8" s="3">
        <v>5</v>
      </c>
      <c r="B8" s="3">
        <v>93</v>
      </c>
      <c r="C8" s="3">
        <v>14</v>
      </c>
      <c r="D8" s="3">
        <v>0.24</v>
      </c>
      <c r="E8" s="3">
        <v>893.4</v>
      </c>
      <c r="F8" s="3">
        <v>0</v>
      </c>
      <c r="G8" s="3">
        <v>0</v>
      </c>
      <c r="H8" s="3">
        <v>0</v>
      </c>
      <c r="I8" s="3">
        <v>0</v>
      </c>
      <c r="J8" s="3">
        <v>3.8884</v>
      </c>
      <c r="K8" s="3">
        <v>8.8744</v>
      </c>
      <c r="L8" s="3">
        <v>0</v>
      </c>
      <c r="M8" s="3" t="s">
        <v>263</v>
      </c>
      <c r="N8" s="3">
        <v>399801.8557</v>
      </c>
      <c r="O8" s="3">
        <v>4180846.898</v>
      </c>
      <c r="Q8" s="5" t="s">
        <v>264</v>
      </c>
      <c r="R8" s="6">
        <v>6</v>
      </c>
      <c r="S8" s="7" t="s">
        <v>265</v>
      </c>
      <c r="T8" s="7"/>
      <c r="U8" s="7"/>
    </row>
    <row r="9" ht="15.6" customHeight="1" spans="1:21">
      <c r="A9" s="3">
        <v>6</v>
      </c>
      <c r="B9" s="3">
        <v>0</v>
      </c>
      <c r="C9" s="3">
        <v>6</v>
      </c>
      <c r="D9" s="3">
        <v>0.66696</v>
      </c>
      <c r="E9" s="3">
        <v>172.12</v>
      </c>
      <c r="F9" s="3">
        <v>0</v>
      </c>
      <c r="G9" s="3">
        <v>0</v>
      </c>
      <c r="H9" s="3">
        <v>0</v>
      </c>
      <c r="I9" s="3">
        <v>0</v>
      </c>
      <c r="J9" s="3">
        <v>2.5363</v>
      </c>
      <c r="K9" s="3">
        <v>3.201</v>
      </c>
      <c r="L9" s="3">
        <v>0</v>
      </c>
      <c r="M9" s="3" t="s">
        <v>266</v>
      </c>
      <c r="N9" s="3">
        <v>398595.7969</v>
      </c>
      <c r="O9" s="3">
        <v>4179588.156</v>
      </c>
      <c r="Q9" s="5" t="s">
        <v>267</v>
      </c>
      <c r="R9" s="6">
        <v>0.35</v>
      </c>
      <c r="S9" s="7" t="s">
        <v>268</v>
      </c>
      <c r="T9" s="7"/>
      <c r="U9" s="7"/>
    </row>
    <row r="10" ht="15.6" customHeight="1" spans="1:21">
      <c r="A10" s="3">
        <v>7</v>
      </c>
      <c r="B10" s="3">
        <v>8</v>
      </c>
      <c r="C10" s="3">
        <v>3</v>
      </c>
      <c r="D10" s="3">
        <v>0.45061</v>
      </c>
      <c r="E10" s="3">
        <v>17.1</v>
      </c>
      <c r="F10" s="3">
        <v>0</v>
      </c>
      <c r="G10" s="3">
        <v>0</v>
      </c>
      <c r="H10" s="3">
        <v>0</v>
      </c>
      <c r="I10" s="3">
        <v>0</v>
      </c>
      <c r="J10" s="3">
        <v>4.1333</v>
      </c>
      <c r="K10" s="3">
        <v>7.2667</v>
      </c>
      <c r="L10" s="3">
        <v>0</v>
      </c>
      <c r="M10" s="3" t="s">
        <v>269</v>
      </c>
      <c r="N10" s="3">
        <v>402664.1664</v>
      </c>
      <c r="O10" s="3">
        <v>4182047.239</v>
      </c>
      <c r="Q10" s="5" t="s">
        <v>270</v>
      </c>
      <c r="R10" s="6">
        <v>1.5</v>
      </c>
      <c r="S10" s="7" t="s">
        <v>271</v>
      </c>
      <c r="T10" s="7"/>
      <c r="U10" s="7"/>
    </row>
    <row r="11" ht="15.6" customHeight="1" spans="1:21">
      <c r="A11" s="3">
        <v>8</v>
      </c>
      <c r="B11" s="3">
        <v>45</v>
      </c>
      <c r="C11" s="3">
        <v>3</v>
      </c>
      <c r="D11" s="3">
        <v>2.84706</v>
      </c>
      <c r="E11" s="3">
        <v>197.64</v>
      </c>
      <c r="F11" s="3">
        <v>0</v>
      </c>
      <c r="G11" s="3">
        <v>0</v>
      </c>
      <c r="H11" s="3">
        <v>0</v>
      </c>
      <c r="I11" s="3">
        <v>4</v>
      </c>
      <c r="J11" s="3">
        <v>43.38</v>
      </c>
      <c r="K11" s="3">
        <v>88.38</v>
      </c>
      <c r="L11" s="3">
        <v>0</v>
      </c>
      <c r="M11" s="3" t="s">
        <v>272</v>
      </c>
      <c r="N11" s="3">
        <v>402485.8603</v>
      </c>
      <c r="O11" s="3">
        <v>4180705.821</v>
      </c>
      <c r="Q11" s="5" t="s">
        <v>273</v>
      </c>
      <c r="R11" s="6">
        <v>2000</v>
      </c>
      <c r="S11" s="7" t="s">
        <v>274</v>
      </c>
      <c r="T11" s="7"/>
      <c r="U11" s="7"/>
    </row>
    <row r="12" ht="15.6" spans="1:21">
      <c r="A12" s="3">
        <v>9</v>
      </c>
      <c r="B12" s="3">
        <v>36</v>
      </c>
      <c r="C12" s="3">
        <v>9</v>
      </c>
      <c r="D12" s="3">
        <v>1.396</v>
      </c>
      <c r="E12" s="3">
        <v>400.85</v>
      </c>
      <c r="F12" s="3">
        <v>0</v>
      </c>
      <c r="G12" s="3">
        <v>0</v>
      </c>
      <c r="H12" s="3">
        <v>6</v>
      </c>
      <c r="I12" s="3">
        <v>4</v>
      </c>
      <c r="J12" s="3">
        <v>35.48</v>
      </c>
      <c r="K12" s="3">
        <v>62.6</v>
      </c>
      <c r="L12" s="3">
        <v>0</v>
      </c>
      <c r="M12" s="3" t="s">
        <v>275</v>
      </c>
      <c r="N12" s="3">
        <v>411475.2518</v>
      </c>
      <c r="O12" s="3">
        <v>4172755.176</v>
      </c>
      <c r="Q12" s="5" t="s">
        <v>276</v>
      </c>
      <c r="R12" s="6">
        <v>0</v>
      </c>
      <c r="S12" s="7" t="s">
        <v>277</v>
      </c>
      <c r="T12" s="7"/>
      <c r="U12" s="7"/>
    </row>
    <row r="13" ht="15.6" spans="1:21">
      <c r="A13" s="3">
        <v>10</v>
      </c>
      <c r="B13" s="3">
        <v>16</v>
      </c>
      <c r="C13" s="3">
        <v>15</v>
      </c>
      <c r="D13" s="3">
        <v>0.434</v>
      </c>
      <c r="E13" s="3">
        <v>102.87</v>
      </c>
      <c r="F13" s="3">
        <v>0</v>
      </c>
      <c r="G13" s="3">
        <v>0</v>
      </c>
      <c r="H13" s="3">
        <v>12</v>
      </c>
      <c r="I13" s="3">
        <v>4</v>
      </c>
      <c r="J13" s="3">
        <v>6.27</v>
      </c>
      <c r="K13" s="3">
        <v>9.18</v>
      </c>
      <c r="L13" s="3">
        <v>0</v>
      </c>
      <c r="M13" s="3" t="s">
        <v>278</v>
      </c>
      <c r="N13" s="3">
        <v>412556.1718</v>
      </c>
      <c r="O13" s="3">
        <v>4171114.804</v>
      </c>
      <c r="Q13" s="5" t="s">
        <v>279</v>
      </c>
      <c r="R13" s="6">
        <v>0.1</v>
      </c>
      <c r="S13" s="7" t="s">
        <v>280</v>
      </c>
      <c r="T13" s="7"/>
      <c r="U13" s="7"/>
    </row>
    <row r="14" ht="15.6" spans="1:21">
      <c r="A14" s="3">
        <v>11</v>
      </c>
      <c r="B14" s="3">
        <v>16</v>
      </c>
      <c r="C14" s="3">
        <v>3.5</v>
      </c>
      <c r="D14" s="3">
        <v>1.959</v>
      </c>
      <c r="E14" s="3">
        <v>168.72</v>
      </c>
      <c r="F14" s="3">
        <v>0</v>
      </c>
      <c r="G14" s="3">
        <v>0</v>
      </c>
      <c r="H14" s="3">
        <v>0.5</v>
      </c>
      <c r="I14" s="3">
        <v>4</v>
      </c>
      <c r="J14" s="3">
        <v>45.89</v>
      </c>
      <c r="K14" s="3">
        <v>48.59</v>
      </c>
      <c r="L14" s="3">
        <v>0</v>
      </c>
      <c r="M14" s="3" t="s">
        <v>281</v>
      </c>
      <c r="N14" s="3">
        <v>413365.2821</v>
      </c>
      <c r="O14" s="3">
        <v>4170810.69</v>
      </c>
      <c r="Q14" s="8" t="s">
        <v>282</v>
      </c>
      <c r="R14" s="6">
        <v>2</v>
      </c>
      <c r="S14" s="7" t="s">
        <v>283</v>
      </c>
      <c r="T14" s="7"/>
      <c r="U14" s="7"/>
    </row>
    <row r="15" ht="15.6" spans="1:21">
      <c r="A15" s="3">
        <v>12</v>
      </c>
      <c r="B15" s="3">
        <v>16</v>
      </c>
      <c r="C15" s="3">
        <v>3</v>
      </c>
      <c r="D15" s="3">
        <v>1.28</v>
      </c>
      <c r="E15" s="3">
        <v>102.9</v>
      </c>
      <c r="F15" s="3">
        <v>0</v>
      </c>
      <c r="G15" s="3">
        <v>0</v>
      </c>
      <c r="H15" s="3">
        <v>0</v>
      </c>
      <c r="I15" s="3">
        <v>4</v>
      </c>
      <c r="J15" s="3">
        <v>34.3</v>
      </c>
      <c r="K15" s="3">
        <v>34.3</v>
      </c>
      <c r="L15" s="3">
        <v>0</v>
      </c>
      <c r="M15" s="3" t="s">
        <v>284</v>
      </c>
      <c r="N15" s="3">
        <v>412951.5026</v>
      </c>
      <c r="O15" s="3">
        <v>4171808.462</v>
      </c>
      <c r="Q15" s="5" t="s">
        <v>285</v>
      </c>
      <c r="R15" s="6">
        <v>25.634</v>
      </c>
      <c r="S15" s="7" t="s">
        <v>286</v>
      </c>
      <c r="T15" s="7"/>
      <c r="U15" s="7"/>
    </row>
    <row r="16" ht="15.6" spans="1:21">
      <c r="A16" s="3">
        <v>13</v>
      </c>
      <c r="B16" s="3">
        <v>0</v>
      </c>
      <c r="C16" s="3">
        <v>2.8</v>
      </c>
      <c r="D16" s="3">
        <v>10.3896</v>
      </c>
      <c r="E16" s="3">
        <v>56.69</v>
      </c>
      <c r="F16" s="3">
        <v>0</v>
      </c>
      <c r="G16" s="3">
        <v>0</v>
      </c>
      <c r="H16" s="3">
        <v>0</v>
      </c>
      <c r="I16" s="3">
        <v>4</v>
      </c>
      <c r="J16" s="3">
        <v>1.7929</v>
      </c>
      <c r="K16" s="3">
        <v>38.7</v>
      </c>
      <c r="L16" s="3">
        <v>0</v>
      </c>
      <c r="M16" s="3" t="s">
        <v>287</v>
      </c>
      <c r="N16" s="3">
        <v>407120.0599</v>
      </c>
      <c r="O16" s="3">
        <v>4171830.659</v>
      </c>
      <c r="Q16" s="5" t="s">
        <v>288</v>
      </c>
      <c r="R16" s="6">
        <v>20.36</v>
      </c>
      <c r="S16" s="7" t="s">
        <v>289</v>
      </c>
      <c r="T16" s="7"/>
      <c r="U16" s="7"/>
    </row>
    <row r="17" ht="15.6" spans="1:15">
      <c r="A17" s="3">
        <v>14</v>
      </c>
      <c r="B17" s="3">
        <v>13</v>
      </c>
      <c r="C17" s="3">
        <v>3.5</v>
      </c>
      <c r="D17" s="3">
        <v>0.12656</v>
      </c>
      <c r="E17" s="3">
        <v>5.91</v>
      </c>
      <c r="F17" s="3">
        <v>0</v>
      </c>
      <c r="G17" s="3">
        <v>0</v>
      </c>
      <c r="H17" s="3">
        <v>0</v>
      </c>
      <c r="I17" s="3">
        <v>0</v>
      </c>
      <c r="J17" s="3">
        <v>0.6669</v>
      </c>
      <c r="K17" s="3">
        <v>2.7103</v>
      </c>
      <c r="L17" s="3">
        <v>0</v>
      </c>
      <c r="M17" s="3" t="s">
        <v>290</v>
      </c>
      <c r="N17" s="3">
        <v>407808.9341</v>
      </c>
      <c r="O17" s="3">
        <v>4172084.197</v>
      </c>
    </row>
    <row r="18" ht="15.6" spans="1:15">
      <c r="A18" s="3">
        <v>15</v>
      </c>
      <c r="B18" s="3">
        <v>16</v>
      </c>
      <c r="C18" s="3">
        <v>3</v>
      </c>
      <c r="D18" s="3">
        <v>5.213</v>
      </c>
      <c r="E18" s="3">
        <v>147.53</v>
      </c>
      <c r="F18" s="3">
        <v>0</v>
      </c>
      <c r="G18" s="3">
        <v>0</v>
      </c>
      <c r="H18" s="3">
        <v>0</v>
      </c>
      <c r="I18" s="3">
        <v>4</v>
      </c>
      <c r="J18" s="3">
        <v>49.177</v>
      </c>
      <c r="K18" s="3">
        <v>49.177</v>
      </c>
      <c r="L18" s="3">
        <v>0</v>
      </c>
      <c r="M18" s="3" t="s">
        <v>291</v>
      </c>
      <c r="N18" s="3">
        <v>411916.1869</v>
      </c>
      <c r="O18" s="3">
        <v>4168664.392</v>
      </c>
    </row>
    <row r="19" ht="15.6" spans="1:15">
      <c r="A19" s="3">
        <v>16</v>
      </c>
      <c r="B19" s="3">
        <v>71</v>
      </c>
      <c r="C19" s="3">
        <v>5</v>
      </c>
      <c r="D19" s="3">
        <v>14.32</v>
      </c>
      <c r="E19" s="3">
        <v>210.53</v>
      </c>
      <c r="F19" s="3">
        <v>0</v>
      </c>
      <c r="G19" s="3">
        <v>0</v>
      </c>
      <c r="H19" s="3">
        <v>2</v>
      </c>
      <c r="I19" s="3">
        <v>4</v>
      </c>
      <c r="J19" s="3">
        <v>21.844</v>
      </c>
      <c r="K19" s="3">
        <v>55.587</v>
      </c>
      <c r="L19" s="3">
        <v>0</v>
      </c>
      <c r="M19" s="3" t="s">
        <v>292</v>
      </c>
      <c r="N19" s="3">
        <v>411541.6149</v>
      </c>
      <c r="O19" s="3">
        <v>4168296.108</v>
      </c>
    </row>
    <row r="20" ht="15.6" spans="1:15">
      <c r="A20" s="3">
        <v>17</v>
      </c>
      <c r="B20" s="3">
        <v>0</v>
      </c>
      <c r="C20" s="3">
        <v>4</v>
      </c>
      <c r="D20" s="3">
        <v>0.53</v>
      </c>
      <c r="E20" s="3">
        <v>10.97</v>
      </c>
      <c r="F20" s="3">
        <v>0</v>
      </c>
      <c r="G20" s="3">
        <v>0</v>
      </c>
      <c r="H20" s="3">
        <v>1</v>
      </c>
      <c r="I20" s="3">
        <v>4</v>
      </c>
      <c r="J20" s="3">
        <v>1.745</v>
      </c>
      <c r="K20" s="3">
        <v>3.74</v>
      </c>
      <c r="L20" s="3">
        <v>0</v>
      </c>
      <c r="M20" s="3" t="s">
        <v>293</v>
      </c>
      <c r="N20" s="3">
        <v>406236.5758</v>
      </c>
      <c r="O20" s="3">
        <v>4172777.691</v>
      </c>
    </row>
    <row r="21" ht="15.6" spans="1:15">
      <c r="A21" s="3">
        <v>18</v>
      </c>
      <c r="B21" s="3">
        <v>118</v>
      </c>
      <c r="C21" s="3">
        <v>5.5</v>
      </c>
      <c r="D21" s="3">
        <v>0.5521</v>
      </c>
      <c r="E21" s="3">
        <v>166.7</v>
      </c>
      <c r="F21" s="3">
        <v>0</v>
      </c>
      <c r="G21" s="3">
        <v>0</v>
      </c>
      <c r="H21" s="3">
        <v>2.5</v>
      </c>
      <c r="I21" s="3">
        <v>4</v>
      </c>
      <c r="J21" s="3">
        <v>27.382</v>
      </c>
      <c r="K21" s="3">
        <v>33.236</v>
      </c>
      <c r="L21" s="3">
        <v>0</v>
      </c>
      <c r="M21" s="3" t="s">
        <v>294</v>
      </c>
      <c r="N21" s="3">
        <v>407289.3271</v>
      </c>
      <c r="O21" s="3">
        <v>4175936.9</v>
      </c>
    </row>
    <row r="22" ht="15.6" spans="1:15">
      <c r="A22" s="3">
        <v>19</v>
      </c>
      <c r="B22" s="3">
        <v>0</v>
      </c>
      <c r="C22" s="3">
        <v>8.5</v>
      </c>
      <c r="D22" s="3">
        <v>0.3068</v>
      </c>
      <c r="E22" s="3">
        <v>47.86</v>
      </c>
      <c r="F22" s="3">
        <v>0</v>
      </c>
      <c r="G22" s="3">
        <v>0</v>
      </c>
      <c r="H22" s="3">
        <v>5.5</v>
      </c>
      <c r="I22" s="3">
        <v>4</v>
      </c>
      <c r="J22" s="3">
        <v>4.2047</v>
      </c>
      <c r="K22" s="3">
        <v>7.0565</v>
      </c>
      <c r="L22" s="3">
        <v>0</v>
      </c>
      <c r="M22" s="3" t="s">
        <v>295</v>
      </c>
      <c r="N22" s="3">
        <v>405401.3493</v>
      </c>
      <c r="O22" s="3">
        <v>4174234.281</v>
      </c>
    </row>
    <row r="23" ht="15.6" spans="1:15">
      <c r="A23" s="3">
        <v>20</v>
      </c>
      <c r="B23" s="3">
        <v>22</v>
      </c>
      <c r="C23" s="3">
        <v>3.5</v>
      </c>
      <c r="D23" s="3">
        <v>4.75858</v>
      </c>
      <c r="E23" s="3">
        <v>33.7</v>
      </c>
      <c r="F23" s="3">
        <v>0</v>
      </c>
      <c r="G23" s="3">
        <v>0</v>
      </c>
      <c r="H23" s="3">
        <v>0.5</v>
      </c>
      <c r="I23" s="3">
        <v>4</v>
      </c>
      <c r="J23" s="3">
        <v>3.3714</v>
      </c>
      <c r="K23" s="3">
        <v>15.886</v>
      </c>
      <c r="L23" s="3">
        <v>0</v>
      </c>
      <c r="M23" s="3" t="s">
        <v>296</v>
      </c>
      <c r="N23" s="3">
        <v>406301.2188</v>
      </c>
      <c r="O23" s="3">
        <v>4175319.064</v>
      </c>
    </row>
    <row r="24" ht="15.6" spans="1:15">
      <c r="A24" s="3">
        <v>21</v>
      </c>
      <c r="B24" s="3">
        <v>138</v>
      </c>
      <c r="C24" s="3">
        <v>10</v>
      </c>
      <c r="D24" s="3">
        <v>3.66856</v>
      </c>
      <c r="E24" s="3">
        <v>653.9</v>
      </c>
      <c r="F24" s="3">
        <v>0</v>
      </c>
      <c r="G24" s="3">
        <v>0</v>
      </c>
      <c r="H24" s="3">
        <v>7</v>
      </c>
      <c r="I24" s="3">
        <v>4</v>
      </c>
      <c r="J24" s="3">
        <v>50.5</v>
      </c>
      <c r="K24" s="3">
        <v>80.28</v>
      </c>
      <c r="L24" s="3">
        <v>0</v>
      </c>
      <c r="M24" s="3" t="s">
        <v>297</v>
      </c>
      <c r="N24" s="3">
        <v>406460.0336</v>
      </c>
      <c r="O24" s="3">
        <v>4175899.952</v>
      </c>
    </row>
    <row r="25" ht="15.6" spans="1:15">
      <c r="A25" s="3">
        <v>22</v>
      </c>
      <c r="B25" s="3">
        <v>0</v>
      </c>
      <c r="C25" s="3">
        <v>2</v>
      </c>
      <c r="D25" s="3">
        <v>8.02705</v>
      </c>
      <c r="E25" s="3">
        <v>66.7</v>
      </c>
      <c r="F25" s="3">
        <v>0</v>
      </c>
      <c r="G25" s="3">
        <v>0</v>
      </c>
      <c r="H25" s="3">
        <v>0</v>
      </c>
      <c r="I25" s="3">
        <v>4</v>
      </c>
      <c r="J25" s="3">
        <v>36.1</v>
      </c>
      <c r="K25" s="3">
        <v>30.6</v>
      </c>
      <c r="L25" s="3">
        <v>0</v>
      </c>
      <c r="M25" s="3" t="s">
        <v>298</v>
      </c>
      <c r="N25" s="3">
        <v>405978.6412</v>
      </c>
      <c r="O25" s="3">
        <v>4174454.237</v>
      </c>
    </row>
    <row r="26" ht="15.6" spans="1:15">
      <c r="A26" s="3">
        <v>23</v>
      </c>
      <c r="B26" s="3">
        <v>24</v>
      </c>
      <c r="C26" s="3">
        <v>8</v>
      </c>
      <c r="D26" s="3">
        <v>0.57659</v>
      </c>
      <c r="E26" s="3">
        <v>177.51</v>
      </c>
      <c r="F26" s="3">
        <v>0</v>
      </c>
      <c r="G26" s="3">
        <v>0</v>
      </c>
      <c r="H26" s="3">
        <v>5</v>
      </c>
      <c r="I26" s="3">
        <v>4</v>
      </c>
      <c r="J26" s="3">
        <v>16.11</v>
      </c>
      <c r="K26" s="3">
        <v>28.268</v>
      </c>
      <c r="L26" s="3">
        <v>0</v>
      </c>
      <c r="M26" s="3" t="s">
        <v>299</v>
      </c>
      <c r="N26" s="3">
        <v>402785.0609</v>
      </c>
      <c r="O26" s="3">
        <v>4173689.606</v>
      </c>
    </row>
    <row r="27" ht="15.6" spans="1:15">
      <c r="A27" s="3">
        <v>24</v>
      </c>
      <c r="B27" s="3">
        <v>103</v>
      </c>
      <c r="C27" s="3">
        <v>5.8</v>
      </c>
      <c r="D27" s="3">
        <v>1.77695</v>
      </c>
      <c r="E27" s="3">
        <v>111.84</v>
      </c>
      <c r="F27" s="3">
        <v>0</v>
      </c>
      <c r="G27" s="3">
        <v>0</v>
      </c>
      <c r="H27" s="3">
        <v>2.8</v>
      </c>
      <c r="I27" s="3">
        <v>4</v>
      </c>
      <c r="J27" s="3">
        <v>8.0172</v>
      </c>
      <c r="K27" s="3">
        <v>30.548</v>
      </c>
      <c r="L27" s="3">
        <v>0</v>
      </c>
      <c r="M27" s="3" t="s">
        <v>300</v>
      </c>
      <c r="N27" s="3">
        <v>403422.8524</v>
      </c>
      <c r="O27" s="3">
        <v>4173594.245</v>
      </c>
    </row>
    <row r="28" ht="15.6" spans="1:15">
      <c r="A28" s="3">
        <v>25</v>
      </c>
      <c r="B28" s="3">
        <v>0</v>
      </c>
      <c r="C28" s="3">
        <v>2</v>
      </c>
      <c r="D28" s="3">
        <v>6.65</v>
      </c>
      <c r="E28" s="3">
        <v>151.79</v>
      </c>
      <c r="F28" s="3">
        <v>0</v>
      </c>
      <c r="G28" s="3">
        <v>0</v>
      </c>
      <c r="H28" s="3">
        <v>0</v>
      </c>
      <c r="I28" s="3">
        <v>4</v>
      </c>
      <c r="J28" s="3">
        <v>128.49</v>
      </c>
      <c r="K28" s="3">
        <v>23.3</v>
      </c>
      <c r="L28" s="3">
        <v>0</v>
      </c>
      <c r="M28" s="3" t="s">
        <v>301</v>
      </c>
      <c r="N28" s="3">
        <v>404648.5581</v>
      </c>
      <c r="O28" s="3">
        <v>4175397.715</v>
      </c>
    </row>
    <row r="29" ht="15.6" spans="1:15">
      <c r="A29" s="3">
        <v>26</v>
      </c>
      <c r="B29" s="3">
        <v>0</v>
      </c>
      <c r="C29" s="3">
        <v>13.3</v>
      </c>
      <c r="D29" s="3">
        <v>0.65125</v>
      </c>
      <c r="E29" s="3">
        <v>114.02</v>
      </c>
      <c r="F29" s="3">
        <v>0</v>
      </c>
      <c r="G29" s="3">
        <v>0</v>
      </c>
      <c r="H29" s="3">
        <v>0</v>
      </c>
      <c r="I29" s="3">
        <v>0</v>
      </c>
      <c r="J29" s="3">
        <v>4.4677</v>
      </c>
      <c r="K29" s="3">
        <v>12.678</v>
      </c>
      <c r="L29" s="3">
        <v>0</v>
      </c>
      <c r="M29" s="3" t="s">
        <v>302</v>
      </c>
      <c r="N29" s="3">
        <v>404741.1392</v>
      </c>
      <c r="O29" s="3">
        <v>4174765.729</v>
      </c>
    </row>
    <row r="30" ht="15.6" spans="1:15">
      <c r="A30" s="3">
        <v>27</v>
      </c>
      <c r="B30" s="3">
        <v>0</v>
      </c>
      <c r="C30" s="3">
        <v>5</v>
      </c>
      <c r="D30" s="3">
        <v>13.8529</v>
      </c>
      <c r="E30" s="3">
        <v>393.99</v>
      </c>
      <c r="F30" s="3">
        <v>0</v>
      </c>
      <c r="G30" s="3">
        <v>0</v>
      </c>
      <c r="H30" s="3">
        <v>0</v>
      </c>
      <c r="I30" s="3">
        <v>0</v>
      </c>
      <c r="J30" s="3">
        <v>19.608</v>
      </c>
      <c r="K30" s="3">
        <v>1380</v>
      </c>
      <c r="L30" s="3">
        <v>0</v>
      </c>
      <c r="M30" s="3" t="s">
        <v>303</v>
      </c>
      <c r="N30" s="3">
        <v>403854.511</v>
      </c>
      <c r="O30" s="3">
        <v>4175735.21</v>
      </c>
    </row>
    <row r="31" ht="15.6" spans="1:15">
      <c r="A31" s="3">
        <v>28</v>
      </c>
      <c r="B31" s="3">
        <v>27</v>
      </c>
      <c r="C31" s="3">
        <v>3</v>
      </c>
      <c r="D31" s="3">
        <v>8.50383</v>
      </c>
      <c r="E31" s="3">
        <v>169.08</v>
      </c>
      <c r="F31" s="3">
        <v>0</v>
      </c>
      <c r="G31" s="3">
        <v>0</v>
      </c>
      <c r="H31" s="3">
        <v>0</v>
      </c>
      <c r="I31" s="3">
        <v>4</v>
      </c>
      <c r="J31" s="3">
        <v>38.153</v>
      </c>
      <c r="K31" s="3">
        <v>74.567</v>
      </c>
      <c r="L31" s="3">
        <v>0</v>
      </c>
      <c r="M31" s="3" t="s">
        <v>304</v>
      </c>
      <c r="N31" s="3">
        <v>401226.579</v>
      </c>
      <c r="O31" s="3">
        <v>4175564.448</v>
      </c>
    </row>
    <row r="32" ht="15.6" spans="1:15">
      <c r="A32" s="3">
        <v>29</v>
      </c>
      <c r="B32" s="3">
        <v>28</v>
      </c>
      <c r="C32" s="3">
        <v>2.3</v>
      </c>
      <c r="D32" s="3">
        <v>1.18484</v>
      </c>
      <c r="E32" s="3">
        <v>48.03</v>
      </c>
      <c r="F32" s="3">
        <v>0</v>
      </c>
      <c r="G32" s="3">
        <v>0</v>
      </c>
      <c r="H32" s="3">
        <v>0</v>
      </c>
      <c r="I32" s="3">
        <v>4</v>
      </c>
      <c r="J32" s="3">
        <v>17.783</v>
      </c>
      <c r="K32" s="3">
        <v>23.983</v>
      </c>
      <c r="L32" s="3">
        <v>0</v>
      </c>
      <c r="M32" s="3" t="s">
        <v>305</v>
      </c>
      <c r="N32" s="3">
        <v>400205.6567</v>
      </c>
      <c r="O32" s="3">
        <v>4175315.389</v>
      </c>
    </row>
    <row r="33" ht="15.6" spans="1:15">
      <c r="A33" s="3">
        <v>30</v>
      </c>
      <c r="B33" s="3">
        <v>34</v>
      </c>
      <c r="C33" s="3">
        <v>17</v>
      </c>
      <c r="D33" s="3">
        <v>0.31629</v>
      </c>
      <c r="E33" s="3">
        <v>426.28</v>
      </c>
      <c r="F33" s="3">
        <v>0</v>
      </c>
      <c r="G33" s="3">
        <v>0</v>
      </c>
      <c r="H33" s="3">
        <v>0</v>
      </c>
      <c r="I33" s="3">
        <v>0</v>
      </c>
      <c r="J33" s="3">
        <v>12.159</v>
      </c>
      <c r="K33" s="3">
        <v>37.992</v>
      </c>
      <c r="L33" s="3">
        <v>0</v>
      </c>
      <c r="M33" s="3" t="s">
        <v>306</v>
      </c>
      <c r="N33" s="3">
        <v>403960.6023</v>
      </c>
      <c r="O33" s="3">
        <v>4169121.233</v>
      </c>
    </row>
    <row r="34" ht="15.6" spans="1:15">
      <c r="A34" s="3">
        <v>31</v>
      </c>
      <c r="B34" s="3">
        <v>65</v>
      </c>
      <c r="C34" s="3">
        <v>1.5</v>
      </c>
      <c r="D34" s="3">
        <v>0.03139</v>
      </c>
      <c r="E34" s="3">
        <v>16.7</v>
      </c>
      <c r="F34" s="3">
        <v>0</v>
      </c>
      <c r="G34" s="3">
        <v>0</v>
      </c>
      <c r="H34" s="3">
        <v>0</v>
      </c>
      <c r="I34" s="3">
        <v>4</v>
      </c>
      <c r="J34" s="3">
        <v>11.867</v>
      </c>
      <c r="K34" s="3">
        <v>10.4</v>
      </c>
      <c r="L34" s="3">
        <v>0</v>
      </c>
      <c r="M34" s="3" t="s">
        <v>307</v>
      </c>
      <c r="N34" s="3">
        <v>404832.7599</v>
      </c>
      <c r="O34" s="3">
        <v>4168571.823</v>
      </c>
    </row>
    <row r="35" ht="15.6" spans="1:15">
      <c r="A35" s="3">
        <v>32</v>
      </c>
      <c r="B35" s="3">
        <v>34</v>
      </c>
      <c r="C35" s="3">
        <v>4</v>
      </c>
      <c r="D35" s="3">
        <v>0.38321</v>
      </c>
      <c r="E35" s="3">
        <v>16.75</v>
      </c>
      <c r="F35" s="3">
        <v>0</v>
      </c>
      <c r="G35" s="3">
        <v>0</v>
      </c>
      <c r="H35" s="3">
        <v>1</v>
      </c>
      <c r="I35" s="3">
        <v>4</v>
      </c>
      <c r="J35" s="3">
        <v>2.715</v>
      </c>
      <c r="K35" s="3">
        <v>5.66</v>
      </c>
      <c r="L35" s="3">
        <v>0</v>
      </c>
      <c r="M35" s="3" t="s">
        <v>308</v>
      </c>
      <c r="N35" s="3">
        <v>404115.4004</v>
      </c>
      <c r="O35" s="3">
        <v>4169639.283</v>
      </c>
    </row>
    <row r="36" ht="15.6" spans="1:15">
      <c r="A36" s="3">
        <v>33</v>
      </c>
      <c r="B36" s="3">
        <v>65</v>
      </c>
      <c r="C36" s="3">
        <v>5</v>
      </c>
      <c r="D36" s="3">
        <v>1.36622</v>
      </c>
      <c r="E36" s="3">
        <v>300.57</v>
      </c>
      <c r="F36" s="3">
        <v>0</v>
      </c>
      <c r="G36" s="3">
        <v>0</v>
      </c>
      <c r="H36" s="3">
        <v>2</v>
      </c>
      <c r="I36" s="3">
        <v>4</v>
      </c>
      <c r="J36" s="3">
        <v>45.424</v>
      </c>
      <c r="K36" s="3">
        <v>74.804</v>
      </c>
      <c r="L36" s="3">
        <v>0</v>
      </c>
      <c r="M36" s="3" t="s">
        <v>309</v>
      </c>
      <c r="N36" s="3">
        <v>405370.3427</v>
      </c>
      <c r="O36" s="3">
        <v>4168140.958</v>
      </c>
    </row>
    <row r="37" ht="15.6" spans="1:15">
      <c r="A37" s="3">
        <v>34</v>
      </c>
      <c r="B37" s="3">
        <v>65</v>
      </c>
      <c r="C37" s="3">
        <v>3.6</v>
      </c>
      <c r="D37" s="3">
        <v>3.63633</v>
      </c>
      <c r="E37" s="3">
        <v>74.01</v>
      </c>
      <c r="F37" s="3">
        <v>0</v>
      </c>
      <c r="G37" s="3">
        <v>0</v>
      </c>
      <c r="H37" s="3">
        <v>0.6</v>
      </c>
      <c r="I37" s="3">
        <v>4</v>
      </c>
      <c r="J37" s="3">
        <v>6.9667</v>
      </c>
      <c r="K37" s="3">
        <v>34.15</v>
      </c>
      <c r="L37" s="3">
        <v>0</v>
      </c>
      <c r="M37" s="3" t="s">
        <v>310</v>
      </c>
      <c r="N37" s="3">
        <v>405041.2549</v>
      </c>
      <c r="O37" s="3">
        <v>4168839.835</v>
      </c>
    </row>
    <row r="38" ht="15.6" spans="1:15">
      <c r="A38" s="3">
        <v>35</v>
      </c>
      <c r="B38" s="3">
        <v>122</v>
      </c>
      <c r="C38" s="3">
        <v>7.5</v>
      </c>
      <c r="D38" s="3">
        <v>0.253</v>
      </c>
      <c r="E38" s="3">
        <v>53.22</v>
      </c>
      <c r="F38" s="3">
        <v>0</v>
      </c>
      <c r="G38" s="3">
        <v>0</v>
      </c>
      <c r="H38" s="3">
        <v>0</v>
      </c>
      <c r="I38" s="3">
        <v>0</v>
      </c>
      <c r="J38" s="3">
        <v>7.096</v>
      </c>
      <c r="K38" s="3">
        <v>7.096</v>
      </c>
      <c r="L38" s="3">
        <v>0</v>
      </c>
      <c r="M38" s="3" t="s">
        <v>311</v>
      </c>
      <c r="N38" s="3">
        <v>410683.8103</v>
      </c>
      <c r="O38" s="3">
        <v>4170756.584</v>
      </c>
    </row>
    <row r="39" ht="15.6" spans="1:15">
      <c r="A39" s="3">
        <v>36</v>
      </c>
      <c r="B39" s="3">
        <v>122</v>
      </c>
      <c r="C39" s="3">
        <v>14</v>
      </c>
      <c r="D39" s="3">
        <v>6.15</v>
      </c>
      <c r="E39" s="3">
        <v>312.68</v>
      </c>
      <c r="F39" s="3">
        <v>0</v>
      </c>
      <c r="G39" s="3">
        <v>0</v>
      </c>
      <c r="H39" s="3">
        <v>0</v>
      </c>
      <c r="I39" s="3">
        <v>0</v>
      </c>
      <c r="J39" s="3">
        <v>22.334</v>
      </c>
      <c r="K39" s="3">
        <v>22.334</v>
      </c>
      <c r="L39" s="3">
        <v>0</v>
      </c>
      <c r="M39" s="3" t="s">
        <v>312</v>
      </c>
      <c r="N39" s="3">
        <v>410748.4012</v>
      </c>
      <c r="O39" s="3">
        <v>4172165.268</v>
      </c>
    </row>
    <row r="40" ht="15.6" spans="1:15">
      <c r="A40" s="3">
        <v>37</v>
      </c>
      <c r="B40" s="3">
        <v>122</v>
      </c>
      <c r="C40" s="3">
        <v>9</v>
      </c>
      <c r="D40" s="3">
        <v>0.311</v>
      </c>
      <c r="E40" s="3">
        <v>66.44</v>
      </c>
      <c r="F40" s="3">
        <v>0</v>
      </c>
      <c r="G40" s="3">
        <v>0</v>
      </c>
      <c r="H40" s="3">
        <v>0</v>
      </c>
      <c r="I40" s="3">
        <v>0</v>
      </c>
      <c r="J40" s="3">
        <v>7.3822</v>
      </c>
      <c r="K40" s="3">
        <v>7.3822</v>
      </c>
      <c r="L40" s="3">
        <v>0</v>
      </c>
      <c r="M40" s="3" t="s">
        <v>313</v>
      </c>
      <c r="N40" s="3">
        <v>410416.9193</v>
      </c>
      <c r="O40" s="3">
        <v>4171803.542</v>
      </c>
    </row>
    <row r="41" ht="15.6" spans="1:15">
      <c r="A41" s="3">
        <v>38</v>
      </c>
      <c r="B41" s="3">
        <v>39</v>
      </c>
      <c r="C41" s="3">
        <v>5.5</v>
      </c>
      <c r="D41" s="3">
        <v>0.766</v>
      </c>
      <c r="E41" s="3">
        <v>172.5</v>
      </c>
      <c r="F41" s="3">
        <v>0</v>
      </c>
      <c r="G41" s="3">
        <v>0</v>
      </c>
      <c r="H41" s="3">
        <v>0</v>
      </c>
      <c r="I41" s="3">
        <v>0</v>
      </c>
      <c r="J41" s="3">
        <v>31.364</v>
      </c>
      <c r="K41" s="3">
        <v>31.364</v>
      </c>
      <c r="L41" s="3">
        <v>0</v>
      </c>
      <c r="M41" s="3" t="s">
        <v>314</v>
      </c>
      <c r="N41" s="3">
        <v>410570.0555</v>
      </c>
      <c r="O41" s="3">
        <v>4172969.258</v>
      </c>
    </row>
    <row r="42" ht="15.6" spans="1:15">
      <c r="A42" s="3">
        <v>39</v>
      </c>
      <c r="B42" s="3">
        <v>36</v>
      </c>
      <c r="C42" s="3">
        <v>5</v>
      </c>
      <c r="D42" s="3">
        <v>0.885</v>
      </c>
      <c r="E42" s="3">
        <v>69.64</v>
      </c>
      <c r="F42" s="3">
        <v>0</v>
      </c>
      <c r="G42" s="3">
        <v>0</v>
      </c>
      <c r="H42" s="3">
        <v>0</v>
      </c>
      <c r="I42" s="3">
        <v>0</v>
      </c>
      <c r="J42" s="3">
        <v>13.928</v>
      </c>
      <c r="K42" s="3">
        <v>13.928</v>
      </c>
      <c r="L42" s="3">
        <v>0</v>
      </c>
      <c r="M42" s="3" t="s">
        <v>315</v>
      </c>
      <c r="N42" s="3">
        <v>410817.3162</v>
      </c>
      <c r="O42" s="3">
        <v>4172727.611</v>
      </c>
    </row>
    <row r="43" ht="15.6" spans="1:15">
      <c r="A43" s="3">
        <v>40</v>
      </c>
      <c r="B43" s="3">
        <v>122</v>
      </c>
      <c r="C43" s="3">
        <v>10</v>
      </c>
      <c r="D43" s="3">
        <v>0.521</v>
      </c>
      <c r="E43" s="3">
        <v>183.31</v>
      </c>
      <c r="F43" s="3">
        <v>0</v>
      </c>
      <c r="G43" s="3">
        <v>0</v>
      </c>
      <c r="H43" s="3">
        <v>0</v>
      </c>
      <c r="I43" s="3">
        <v>0</v>
      </c>
      <c r="J43" s="3">
        <v>18.331</v>
      </c>
      <c r="K43" s="3">
        <v>18.331</v>
      </c>
      <c r="L43" s="3">
        <v>0</v>
      </c>
      <c r="M43" s="3" t="s">
        <v>316</v>
      </c>
      <c r="N43" s="3">
        <v>410965.3039</v>
      </c>
      <c r="O43" s="3">
        <v>4171506.142</v>
      </c>
    </row>
    <row r="44" ht="15.6" spans="1:15">
      <c r="A44" s="3">
        <v>41</v>
      </c>
      <c r="B44" s="3">
        <v>36</v>
      </c>
      <c r="C44" s="3">
        <v>18.5</v>
      </c>
      <c r="D44" s="3">
        <v>3.016</v>
      </c>
      <c r="E44" s="3">
        <v>1072.5</v>
      </c>
      <c r="F44" s="3">
        <v>0</v>
      </c>
      <c r="G44" s="3">
        <v>0</v>
      </c>
      <c r="H44" s="3">
        <v>0</v>
      </c>
      <c r="I44" s="3">
        <v>0</v>
      </c>
      <c r="J44" s="3">
        <v>57.975</v>
      </c>
      <c r="K44" s="3">
        <v>57.975</v>
      </c>
      <c r="L44" s="3">
        <v>0</v>
      </c>
      <c r="M44" s="3" t="s">
        <v>317</v>
      </c>
      <c r="N44" s="3">
        <v>410930.9057</v>
      </c>
      <c r="O44" s="3">
        <v>4173306.69</v>
      </c>
    </row>
    <row r="45" ht="15.6" spans="1:15">
      <c r="A45" s="3">
        <v>42</v>
      </c>
      <c r="B45" s="3">
        <v>44</v>
      </c>
      <c r="C45" s="3">
        <v>3.2</v>
      </c>
      <c r="D45" s="3">
        <v>0.51934</v>
      </c>
      <c r="E45" s="3">
        <v>9.3</v>
      </c>
      <c r="F45" s="3">
        <v>0</v>
      </c>
      <c r="G45" s="3">
        <v>0</v>
      </c>
      <c r="H45" s="3">
        <v>0.2</v>
      </c>
      <c r="I45" s="3">
        <v>4</v>
      </c>
      <c r="J45" s="3">
        <v>2.0313</v>
      </c>
      <c r="K45" s="3">
        <v>3.7813</v>
      </c>
      <c r="L45" s="3">
        <v>0</v>
      </c>
      <c r="M45" s="3" t="s">
        <v>318</v>
      </c>
      <c r="N45" s="3">
        <v>403601.0818</v>
      </c>
      <c r="O45" s="3">
        <v>4178310.275</v>
      </c>
    </row>
    <row r="46" ht="15.6" spans="1:15">
      <c r="A46" s="3">
        <v>43</v>
      </c>
      <c r="B46" s="3">
        <v>42</v>
      </c>
      <c r="C46" s="3">
        <v>3.5</v>
      </c>
      <c r="D46" s="3">
        <v>0.34758</v>
      </c>
      <c r="E46" s="3">
        <v>36.33</v>
      </c>
      <c r="F46" s="3">
        <v>0</v>
      </c>
      <c r="G46" s="3">
        <v>0</v>
      </c>
      <c r="H46" s="3">
        <v>0.5</v>
      </c>
      <c r="I46" s="3">
        <v>4</v>
      </c>
      <c r="J46" s="3">
        <v>9.3771</v>
      </c>
      <c r="K46" s="3">
        <v>11.383</v>
      </c>
      <c r="L46" s="3">
        <v>0</v>
      </c>
      <c r="M46" s="3" t="s">
        <v>319</v>
      </c>
      <c r="N46" s="3">
        <v>404001.8448</v>
      </c>
      <c r="O46" s="3">
        <v>4178462.666</v>
      </c>
    </row>
    <row r="47" ht="15.6" spans="1:15">
      <c r="A47" s="3">
        <v>44</v>
      </c>
      <c r="B47" s="3">
        <v>0</v>
      </c>
      <c r="C47" s="3">
        <v>3</v>
      </c>
      <c r="D47" s="3">
        <v>18.1595</v>
      </c>
      <c r="E47" s="3">
        <v>431.56</v>
      </c>
      <c r="F47" s="3">
        <v>0</v>
      </c>
      <c r="G47" s="3">
        <v>0</v>
      </c>
      <c r="H47" s="3">
        <v>0</v>
      </c>
      <c r="I47" s="3">
        <v>4</v>
      </c>
      <c r="J47" s="3">
        <v>191.35</v>
      </c>
      <c r="K47" s="3">
        <v>96.36</v>
      </c>
      <c r="L47" s="3">
        <v>0</v>
      </c>
      <c r="M47" s="3" t="s">
        <v>320</v>
      </c>
      <c r="N47" s="3">
        <v>403387.0205</v>
      </c>
      <c r="O47" s="3">
        <v>4176845.066</v>
      </c>
    </row>
    <row r="48" ht="15.6" spans="1:15">
      <c r="A48" s="3">
        <v>45</v>
      </c>
      <c r="B48" s="3">
        <v>44</v>
      </c>
      <c r="C48" s="3">
        <v>21</v>
      </c>
      <c r="D48" s="3">
        <v>7.96746</v>
      </c>
      <c r="E48" s="3">
        <v>2004.8</v>
      </c>
      <c r="F48" s="3">
        <v>0</v>
      </c>
      <c r="G48" s="3">
        <v>0</v>
      </c>
      <c r="H48" s="3">
        <v>18</v>
      </c>
      <c r="I48" s="3">
        <v>4</v>
      </c>
      <c r="J48" s="3">
        <v>24.933</v>
      </c>
      <c r="K48" s="3">
        <v>166</v>
      </c>
      <c r="L48" s="3">
        <v>0</v>
      </c>
      <c r="M48" s="3" t="s">
        <v>321</v>
      </c>
      <c r="N48" s="3">
        <v>402600.129</v>
      </c>
      <c r="O48" s="3">
        <v>4178844.323</v>
      </c>
    </row>
    <row r="49" ht="15.6" spans="1:15">
      <c r="A49" s="3">
        <v>46</v>
      </c>
      <c r="B49" s="3">
        <v>0</v>
      </c>
      <c r="C49" s="3">
        <v>6</v>
      </c>
      <c r="D49" s="3">
        <v>0.32924</v>
      </c>
      <c r="E49" s="3">
        <v>96.05</v>
      </c>
      <c r="F49" s="3">
        <v>0</v>
      </c>
      <c r="G49" s="3">
        <v>0</v>
      </c>
      <c r="H49" s="3">
        <v>3</v>
      </c>
      <c r="I49" s="3">
        <v>4</v>
      </c>
      <c r="J49" s="3">
        <v>0.9253</v>
      </c>
      <c r="K49" s="3">
        <v>2.2763</v>
      </c>
      <c r="L49" s="3">
        <v>0</v>
      </c>
      <c r="M49" s="3" t="s">
        <v>322</v>
      </c>
      <c r="N49" s="3">
        <v>397188.1117</v>
      </c>
      <c r="O49" s="3">
        <v>4179613.841</v>
      </c>
    </row>
    <row r="50" ht="15.6" spans="1:15">
      <c r="A50" s="3">
        <v>47</v>
      </c>
      <c r="B50" s="3">
        <v>78</v>
      </c>
      <c r="C50" s="3">
        <v>9.3</v>
      </c>
      <c r="D50" s="3">
        <v>2.48</v>
      </c>
      <c r="E50" s="3">
        <v>527.34</v>
      </c>
      <c r="F50" s="3">
        <v>0</v>
      </c>
      <c r="G50" s="3">
        <v>0</v>
      </c>
      <c r="H50" s="3">
        <v>0</v>
      </c>
      <c r="I50" s="3">
        <v>0</v>
      </c>
      <c r="J50" s="3">
        <v>3.68</v>
      </c>
      <c r="K50" s="3">
        <v>7.6606</v>
      </c>
      <c r="L50" s="3">
        <v>0</v>
      </c>
      <c r="M50" s="3" t="s">
        <v>323</v>
      </c>
      <c r="N50" s="3">
        <v>395560.3493</v>
      </c>
      <c r="O50" s="3">
        <v>4176808.293</v>
      </c>
    </row>
    <row r="51" ht="15.6" spans="1:15">
      <c r="A51" s="3">
        <v>48</v>
      </c>
      <c r="B51" s="3">
        <v>0</v>
      </c>
      <c r="C51" s="3">
        <v>5.5</v>
      </c>
      <c r="D51" s="3">
        <v>0.48042</v>
      </c>
      <c r="E51" s="3">
        <v>171.44</v>
      </c>
      <c r="F51" s="3">
        <v>0</v>
      </c>
      <c r="G51" s="3">
        <v>0</v>
      </c>
      <c r="H51" s="3">
        <v>2.5</v>
      </c>
      <c r="I51" s="3">
        <v>4</v>
      </c>
      <c r="J51" s="3">
        <v>1.7389</v>
      </c>
      <c r="K51" s="3">
        <v>4.4953</v>
      </c>
      <c r="L51" s="3">
        <v>0</v>
      </c>
      <c r="M51" s="3" t="s">
        <v>324</v>
      </c>
      <c r="N51" s="3">
        <v>397036.498</v>
      </c>
      <c r="O51" s="3">
        <v>4177470.561</v>
      </c>
    </row>
    <row r="52" ht="15.6" spans="1:15">
      <c r="A52" s="3">
        <v>49</v>
      </c>
      <c r="B52" s="3">
        <v>0</v>
      </c>
      <c r="C52" s="3">
        <v>2</v>
      </c>
      <c r="D52" s="3">
        <v>0.1586</v>
      </c>
      <c r="E52" s="3">
        <v>2.41</v>
      </c>
      <c r="F52" s="3">
        <v>0</v>
      </c>
      <c r="G52" s="3">
        <v>0</v>
      </c>
      <c r="H52" s="3">
        <v>0</v>
      </c>
      <c r="I52" s="3">
        <v>0</v>
      </c>
      <c r="J52" s="3">
        <v>0.096</v>
      </c>
      <c r="K52" s="3">
        <v>0.145</v>
      </c>
      <c r="L52" s="3">
        <v>0</v>
      </c>
      <c r="M52" s="3" t="s">
        <v>325</v>
      </c>
      <c r="N52" s="3">
        <v>397236.8564</v>
      </c>
      <c r="O52" s="3">
        <v>4177811.197</v>
      </c>
    </row>
    <row r="53" ht="15.6" spans="1:15">
      <c r="A53" s="3">
        <v>50</v>
      </c>
      <c r="B53" s="3">
        <v>79</v>
      </c>
      <c r="C53" s="3">
        <v>14</v>
      </c>
      <c r="D53" s="3">
        <v>1.6</v>
      </c>
      <c r="E53" s="3">
        <v>832.2</v>
      </c>
      <c r="F53" s="3">
        <v>0</v>
      </c>
      <c r="G53" s="3">
        <v>0</v>
      </c>
      <c r="H53" s="3">
        <v>11</v>
      </c>
      <c r="I53" s="3">
        <v>4</v>
      </c>
      <c r="J53" s="3">
        <v>3.7009</v>
      </c>
      <c r="K53" s="3">
        <v>8.1877</v>
      </c>
      <c r="L53" s="3">
        <v>0</v>
      </c>
      <c r="M53" s="3" t="s">
        <v>326</v>
      </c>
      <c r="N53" s="3">
        <v>396897.709</v>
      </c>
      <c r="O53" s="3">
        <v>4177580.973</v>
      </c>
    </row>
    <row r="54" ht="15.6" spans="1:15">
      <c r="A54" s="3">
        <v>51</v>
      </c>
      <c r="B54" s="3">
        <v>0</v>
      </c>
      <c r="C54" s="3">
        <v>5.5</v>
      </c>
      <c r="D54" s="3" t="s">
        <v>327</v>
      </c>
      <c r="E54" s="3">
        <v>151.91</v>
      </c>
      <c r="F54" s="3">
        <v>0</v>
      </c>
      <c r="G54" s="3">
        <v>0</v>
      </c>
      <c r="H54" s="3">
        <v>2.5</v>
      </c>
      <c r="I54" s="3">
        <v>4</v>
      </c>
      <c r="J54" s="3">
        <v>18.24</v>
      </c>
      <c r="K54" s="3">
        <v>37</v>
      </c>
      <c r="L54" s="3">
        <v>0</v>
      </c>
      <c r="M54" s="3" t="s">
        <v>328</v>
      </c>
      <c r="N54" s="3">
        <v>402872.2302</v>
      </c>
      <c r="O54" s="3">
        <v>4171259.097</v>
      </c>
    </row>
    <row r="55" ht="15.6" spans="1:15">
      <c r="A55" s="3">
        <v>52</v>
      </c>
      <c r="B55" s="3">
        <v>0</v>
      </c>
      <c r="C55" s="3">
        <v>2</v>
      </c>
      <c r="D55" s="3">
        <v>0.11092</v>
      </c>
      <c r="E55" s="3">
        <v>4.86</v>
      </c>
      <c r="F55" s="3">
        <v>0</v>
      </c>
      <c r="G55" s="3">
        <v>0</v>
      </c>
      <c r="H55" s="3">
        <v>0</v>
      </c>
      <c r="I55" s="3">
        <v>0</v>
      </c>
      <c r="J55" s="3">
        <v>0.193</v>
      </c>
      <c r="K55" s="3">
        <v>0.293</v>
      </c>
      <c r="L55" s="3">
        <v>0</v>
      </c>
      <c r="M55" s="3" t="s">
        <v>329</v>
      </c>
      <c r="N55" s="3">
        <v>399430.5105</v>
      </c>
      <c r="O55" s="3">
        <v>4177052.399</v>
      </c>
    </row>
    <row r="56" ht="15.6" spans="1:15">
      <c r="A56" s="3">
        <v>53</v>
      </c>
      <c r="B56" s="3">
        <v>0</v>
      </c>
      <c r="C56" s="3">
        <v>8</v>
      </c>
      <c r="D56" s="3">
        <v>0.22877</v>
      </c>
      <c r="E56" s="3">
        <v>463.02</v>
      </c>
      <c r="F56" s="3">
        <v>0</v>
      </c>
      <c r="G56" s="3">
        <v>0</v>
      </c>
      <c r="H56" s="3">
        <v>0</v>
      </c>
      <c r="I56" s="3">
        <v>0</v>
      </c>
      <c r="J56" s="3">
        <v>3.8953</v>
      </c>
      <c r="K56" s="3">
        <v>7.6803</v>
      </c>
      <c r="L56" s="3">
        <v>0</v>
      </c>
      <c r="M56" s="3" t="s">
        <v>330</v>
      </c>
      <c r="N56" s="3">
        <v>398873.4428</v>
      </c>
      <c r="O56" s="3">
        <v>4177289.442</v>
      </c>
    </row>
    <row r="57" ht="15.6" spans="1:15">
      <c r="A57" s="3">
        <v>54</v>
      </c>
      <c r="B57" s="3">
        <v>0</v>
      </c>
      <c r="C57" s="3">
        <v>6</v>
      </c>
      <c r="D57" s="3">
        <v>0.18</v>
      </c>
      <c r="E57" s="3">
        <v>107.21</v>
      </c>
      <c r="F57" s="3">
        <v>0</v>
      </c>
      <c r="G57" s="3">
        <v>0</v>
      </c>
      <c r="H57" s="3">
        <v>0</v>
      </c>
      <c r="I57" s="3">
        <v>0</v>
      </c>
      <c r="J57" s="3">
        <v>1.1673</v>
      </c>
      <c r="K57" s="3">
        <v>2.4063</v>
      </c>
      <c r="L57" s="3">
        <v>0</v>
      </c>
      <c r="M57" s="3" t="s">
        <v>331</v>
      </c>
      <c r="N57" s="3">
        <v>398961.4575</v>
      </c>
      <c r="O57" s="3">
        <v>4177919.657</v>
      </c>
    </row>
    <row r="58" ht="15.6" spans="1:15">
      <c r="A58" s="3">
        <v>55</v>
      </c>
      <c r="B58" s="3">
        <v>0</v>
      </c>
      <c r="C58" s="3">
        <v>6.5</v>
      </c>
      <c r="D58" s="3">
        <v>0.69</v>
      </c>
      <c r="E58" s="3">
        <v>73</v>
      </c>
      <c r="F58" s="3">
        <v>0</v>
      </c>
      <c r="G58" s="3">
        <v>0</v>
      </c>
      <c r="H58" s="3">
        <v>3.5</v>
      </c>
      <c r="I58" s="3">
        <v>4</v>
      </c>
      <c r="J58" s="3">
        <v>0.6548</v>
      </c>
      <c r="K58" s="3">
        <v>1.5914</v>
      </c>
      <c r="L58" s="3">
        <v>0</v>
      </c>
      <c r="M58" s="3" t="s">
        <v>332</v>
      </c>
      <c r="N58" s="3">
        <v>401086.9234</v>
      </c>
      <c r="O58" s="3">
        <v>4178031.633</v>
      </c>
    </row>
    <row r="59" ht="15.6" spans="1:15">
      <c r="A59" s="3">
        <v>56</v>
      </c>
      <c r="B59" s="3">
        <v>117</v>
      </c>
      <c r="C59" s="3">
        <v>3.2</v>
      </c>
      <c r="D59" s="3">
        <v>1.28</v>
      </c>
      <c r="E59" s="3">
        <v>143.48</v>
      </c>
      <c r="F59" s="3">
        <v>0</v>
      </c>
      <c r="G59" s="3">
        <v>0</v>
      </c>
      <c r="H59" s="3">
        <v>0</v>
      </c>
      <c r="I59" s="3">
        <v>0</v>
      </c>
      <c r="J59" s="3">
        <v>1.495</v>
      </c>
      <c r="K59" s="3">
        <v>7.4725</v>
      </c>
      <c r="L59" s="3">
        <v>0</v>
      </c>
      <c r="M59" s="3" t="s">
        <v>333</v>
      </c>
      <c r="N59" s="3">
        <v>399929.2877</v>
      </c>
      <c r="O59" s="3">
        <v>4178980.76</v>
      </c>
    </row>
    <row r="60" ht="15.6" spans="1:15">
      <c r="A60" s="3">
        <v>57</v>
      </c>
      <c r="B60" s="3">
        <v>0</v>
      </c>
      <c r="C60" s="3">
        <v>14</v>
      </c>
      <c r="D60" s="3">
        <v>0.21</v>
      </c>
      <c r="E60" s="3">
        <v>52.01</v>
      </c>
      <c r="F60" s="3">
        <v>0</v>
      </c>
      <c r="G60" s="3">
        <v>0</v>
      </c>
      <c r="H60" s="3">
        <v>0</v>
      </c>
      <c r="I60" s="3">
        <v>0</v>
      </c>
      <c r="J60" s="3">
        <v>0.1749</v>
      </c>
      <c r="K60" s="3">
        <v>0.5681</v>
      </c>
      <c r="L60" s="3">
        <v>0</v>
      </c>
      <c r="M60" s="3" t="s">
        <v>334</v>
      </c>
      <c r="N60" s="3">
        <v>400551.1232</v>
      </c>
      <c r="O60" s="3">
        <v>4177568.918</v>
      </c>
    </row>
    <row r="61" ht="15.6" spans="1:15">
      <c r="A61" s="3">
        <v>58</v>
      </c>
      <c r="B61" s="3">
        <v>0</v>
      </c>
      <c r="C61" s="3">
        <v>10.8</v>
      </c>
      <c r="D61" s="3">
        <v>0.18</v>
      </c>
      <c r="E61" s="3">
        <v>35.65</v>
      </c>
      <c r="F61" s="3">
        <v>0</v>
      </c>
      <c r="G61" s="3">
        <v>0</v>
      </c>
      <c r="H61" s="3">
        <v>0</v>
      </c>
      <c r="I61" s="3">
        <v>0</v>
      </c>
      <c r="J61" s="3">
        <v>0.1334</v>
      </c>
      <c r="K61" s="3">
        <v>0.5268</v>
      </c>
      <c r="L61" s="3">
        <v>0</v>
      </c>
      <c r="M61" s="3" t="s">
        <v>335</v>
      </c>
      <c r="N61" s="3">
        <v>402292.4041</v>
      </c>
      <c r="O61" s="3">
        <v>4177321.899</v>
      </c>
    </row>
    <row r="62" ht="15.6" spans="1:15">
      <c r="A62" s="3">
        <v>59</v>
      </c>
      <c r="B62" s="3">
        <v>56</v>
      </c>
      <c r="C62" s="3">
        <v>4</v>
      </c>
      <c r="D62" s="3">
        <v>3.25</v>
      </c>
      <c r="E62" s="3">
        <v>344.49</v>
      </c>
      <c r="F62" s="3">
        <v>0</v>
      </c>
      <c r="G62" s="3">
        <v>0</v>
      </c>
      <c r="H62" s="3">
        <v>1</v>
      </c>
      <c r="I62" s="3">
        <v>4</v>
      </c>
      <c r="J62" s="3">
        <v>3.191</v>
      </c>
      <c r="K62" s="3">
        <v>14.034</v>
      </c>
      <c r="L62" s="3">
        <v>0</v>
      </c>
      <c r="M62" s="3" t="s">
        <v>336</v>
      </c>
      <c r="N62" s="3">
        <v>400474.534</v>
      </c>
      <c r="O62" s="3">
        <v>4178505.473</v>
      </c>
    </row>
    <row r="63" ht="15.6" spans="1:15">
      <c r="A63" s="3">
        <v>60</v>
      </c>
      <c r="B63" s="3">
        <v>0</v>
      </c>
      <c r="C63" s="3">
        <v>10.2</v>
      </c>
      <c r="D63" s="3">
        <v>0.58</v>
      </c>
      <c r="E63" s="3">
        <v>242.28</v>
      </c>
      <c r="F63" s="3">
        <v>0</v>
      </c>
      <c r="G63" s="3">
        <v>0</v>
      </c>
      <c r="H63" s="3">
        <v>0</v>
      </c>
      <c r="I63" s="3">
        <v>0</v>
      </c>
      <c r="J63" s="3">
        <v>14.912</v>
      </c>
      <c r="K63" s="3">
        <v>32.594</v>
      </c>
      <c r="L63" s="3">
        <v>0</v>
      </c>
      <c r="M63" s="3" t="s">
        <v>337</v>
      </c>
      <c r="N63" s="3">
        <v>405616.1764</v>
      </c>
      <c r="O63" s="3">
        <v>4171515.143</v>
      </c>
    </row>
    <row r="64" ht="15.6" spans="1:15">
      <c r="A64" s="3">
        <v>61</v>
      </c>
      <c r="B64" s="3">
        <v>0</v>
      </c>
      <c r="C64" s="3">
        <v>2</v>
      </c>
      <c r="D64" s="3">
        <v>4.29</v>
      </c>
      <c r="E64" s="3">
        <v>21.81</v>
      </c>
      <c r="F64" s="3">
        <v>0</v>
      </c>
      <c r="G64" s="3">
        <v>0</v>
      </c>
      <c r="H64" s="3">
        <v>0</v>
      </c>
      <c r="I64" s="3">
        <v>4</v>
      </c>
      <c r="J64" s="3">
        <v>11.02</v>
      </c>
      <c r="K64" s="3">
        <v>10.79</v>
      </c>
      <c r="L64" s="3">
        <v>0</v>
      </c>
      <c r="M64" s="3" t="s">
        <v>338</v>
      </c>
      <c r="N64" s="3">
        <v>405665.6802</v>
      </c>
      <c r="O64" s="3">
        <v>4171850.849</v>
      </c>
    </row>
    <row r="65" ht="15.6" spans="1:15">
      <c r="A65" s="3">
        <v>62</v>
      </c>
      <c r="B65" s="3">
        <v>0</v>
      </c>
      <c r="C65" s="3">
        <v>10</v>
      </c>
      <c r="D65" s="3">
        <v>3.59</v>
      </c>
      <c r="E65" s="3">
        <v>413.53</v>
      </c>
      <c r="F65" s="3">
        <v>0</v>
      </c>
      <c r="G65" s="3">
        <v>0</v>
      </c>
      <c r="H65" s="3">
        <v>0</v>
      </c>
      <c r="I65" s="3">
        <v>0</v>
      </c>
      <c r="J65" s="3">
        <v>24.458</v>
      </c>
      <c r="K65" s="3">
        <v>58.248</v>
      </c>
      <c r="L65" s="3">
        <v>0</v>
      </c>
      <c r="M65" s="3" t="s">
        <v>339</v>
      </c>
      <c r="N65" s="3">
        <v>401830.5314</v>
      </c>
      <c r="O65" s="3">
        <v>4172158.139</v>
      </c>
    </row>
    <row r="66" ht="15.6" spans="1:15">
      <c r="A66" s="3">
        <v>63</v>
      </c>
      <c r="B66" s="3">
        <v>62</v>
      </c>
      <c r="C66" s="3">
        <v>8</v>
      </c>
      <c r="D66" s="3">
        <v>1.45</v>
      </c>
      <c r="E66" s="3">
        <v>281.06</v>
      </c>
      <c r="F66" s="3">
        <v>0</v>
      </c>
      <c r="G66" s="3">
        <v>0</v>
      </c>
      <c r="H66" s="3">
        <v>5</v>
      </c>
      <c r="I66" s="3">
        <v>4</v>
      </c>
      <c r="J66" s="3">
        <v>11.168</v>
      </c>
      <c r="K66" s="3">
        <v>59.098</v>
      </c>
      <c r="L66" s="3">
        <v>0</v>
      </c>
      <c r="M66" s="3" t="s">
        <v>340</v>
      </c>
      <c r="N66" s="3">
        <v>400989.7977</v>
      </c>
      <c r="O66" s="3">
        <v>4172499.534</v>
      </c>
    </row>
    <row r="67" ht="15.6" spans="1:15">
      <c r="A67" s="3">
        <v>64</v>
      </c>
      <c r="B67" s="3">
        <v>65</v>
      </c>
      <c r="C67" s="3">
        <v>2</v>
      </c>
      <c r="D67" s="3">
        <v>2.64</v>
      </c>
      <c r="E67" s="3">
        <v>35.39</v>
      </c>
      <c r="F67" s="3">
        <v>0</v>
      </c>
      <c r="G67" s="3">
        <v>0</v>
      </c>
      <c r="H67" s="3">
        <v>0</v>
      </c>
      <c r="I67" s="3">
        <v>4</v>
      </c>
      <c r="J67" s="3">
        <v>18.47</v>
      </c>
      <c r="K67" s="3">
        <v>16.92</v>
      </c>
      <c r="L67" s="3">
        <v>0</v>
      </c>
      <c r="M67" s="3" t="s">
        <v>341</v>
      </c>
      <c r="N67" s="3">
        <v>407563.8401</v>
      </c>
      <c r="O67" s="3">
        <v>4168042.214</v>
      </c>
    </row>
    <row r="68" ht="15.6" spans="1:15">
      <c r="A68" s="3">
        <v>65</v>
      </c>
      <c r="B68" s="3">
        <v>0</v>
      </c>
      <c r="C68" s="3">
        <v>2</v>
      </c>
      <c r="D68" s="3">
        <v>14.64</v>
      </c>
      <c r="E68" s="3">
        <v>112.17</v>
      </c>
      <c r="F68" s="3">
        <v>0</v>
      </c>
      <c r="G68" s="3">
        <v>0</v>
      </c>
      <c r="H68" s="3">
        <v>0</v>
      </c>
      <c r="I68" s="3">
        <v>4</v>
      </c>
      <c r="J68" s="3">
        <v>46.78</v>
      </c>
      <c r="K68" s="3">
        <v>65.39</v>
      </c>
      <c r="L68" s="3">
        <v>0</v>
      </c>
      <c r="M68" s="3" t="s">
        <v>342</v>
      </c>
      <c r="N68" s="3">
        <v>408292.5511</v>
      </c>
      <c r="O68" s="3">
        <v>4168232.05</v>
      </c>
    </row>
    <row r="69" ht="15.6" spans="1:15">
      <c r="A69" s="3">
        <v>66</v>
      </c>
      <c r="B69" s="3">
        <v>0</v>
      </c>
      <c r="C69" s="3">
        <v>3</v>
      </c>
      <c r="D69" s="3">
        <v>13.65</v>
      </c>
      <c r="E69" s="3">
        <v>113.02</v>
      </c>
      <c r="F69" s="3">
        <v>0</v>
      </c>
      <c r="G69" s="3">
        <v>0</v>
      </c>
      <c r="H69" s="3">
        <v>0</v>
      </c>
      <c r="I69" s="3">
        <v>0</v>
      </c>
      <c r="J69" s="3">
        <v>37.673</v>
      </c>
      <c r="K69" s="3">
        <v>37.673</v>
      </c>
      <c r="L69" s="3">
        <v>0</v>
      </c>
      <c r="M69" s="3" t="s">
        <v>343</v>
      </c>
      <c r="N69" s="3">
        <v>409376.8801</v>
      </c>
      <c r="O69" s="3">
        <v>4168192.3</v>
      </c>
    </row>
    <row r="70" ht="15.6" spans="1:15">
      <c r="A70" s="3">
        <v>67</v>
      </c>
      <c r="B70" s="3">
        <v>44</v>
      </c>
      <c r="C70" s="3">
        <v>13.2</v>
      </c>
      <c r="D70" s="3">
        <v>0.57</v>
      </c>
      <c r="E70" s="3">
        <v>246.85</v>
      </c>
      <c r="F70" s="3">
        <v>0</v>
      </c>
      <c r="G70" s="3">
        <v>0</v>
      </c>
      <c r="H70" s="3">
        <v>0</v>
      </c>
      <c r="I70" s="3">
        <v>0</v>
      </c>
      <c r="J70" s="3">
        <v>9.3712</v>
      </c>
      <c r="K70" s="3">
        <v>28.03</v>
      </c>
      <c r="L70" s="3">
        <v>0</v>
      </c>
      <c r="M70" s="3" t="s">
        <v>344</v>
      </c>
      <c r="N70" s="3">
        <v>403984.6758</v>
      </c>
      <c r="O70" s="3">
        <v>4179152.325</v>
      </c>
    </row>
    <row r="71" ht="15.6" spans="1:15">
      <c r="A71" s="3">
        <v>68</v>
      </c>
      <c r="B71" s="3">
        <v>15</v>
      </c>
      <c r="C71" s="3">
        <v>9.5</v>
      </c>
      <c r="D71" s="3">
        <v>1.97</v>
      </c>
      <c r="E71" s="3">
        <v>899.68</v>
      </c>
      <c r="F71" s="3">
        <v>0</v>
      </c>
      <c r="G71" s="3">
        <v>0</v>
      </c>
      <c r="H71" s="3">
        <v>0</v>
      </c>
      <c r="I71" s="3">
        <v>0</v>
      </c>
      <c r="J71" s="3">
        <v>94.703</v>
      </c>
      <c r="K71" s="3">
        <v>94.703</v>
      </c>
      <c r="L71" s="3">
        <v>0</v>
      </c>
      <c r="M71" s="3" t="s">
        <v>345</v>
      </c>
      <c r="N71" s="3">
        <v>413826.0207</v>
      </c>
      <c r="O71" s="3">
        <v>4169771.769</v>
      </c>
    </row>
    <row r="72" ht="15.6" spans="1:15">
      <c r="A72" s="3">
        <v>69</v>
      </c>
      <c r="B72" s="3">
        <v>0</v>
      </c>
      <c r="C72" s="3">
        <v>5.5</v>
      </c>
      <c r="D72" s="3">
        <v>1.68</v>
      </c>
      <c r="E72" s="3">
        <v>39.3</v>
      </c>
      <c r="F72" s="3">
        <v>0</v>
      </c>
      <c r="G72" s="3">
        <v>0</v>
      </c>
      <c r="H72" s="3">
        <v>0</v>
      </c>
      <c r="I72" s="3">
        <v>0</v>
      </c>
      <c r="J72" s="3">
        <v>7.1455</v>
      </c>
      <c r="K72" s="3">
        <v>7.1455</v>
      </c>
      <c r="L72" s="3">
        <v>0</v>
      </c>
      <c r="M72" s="3" t="s">
        <v>346</v>
      </c>
      <c r="N72" s="3">
        <v>411836.7556</v>
      </c>
      <c r="O72" s="3">
        <v>4165325.889</v>
      </c>
    </row>
    <row r="73" ht="15.6" spans="1:15">
      <c r="A73" s="3">
        <v>70</v>
      </c>
      <c r="B73" s="3">
        <v>69</v>
      </c>
      <c r="C73" s="3">
        <v>10</v>
      </c>
      <c r="D73" s="3">
        <v>1.59</v>
      </c>
      <c r="E73" s="3">
        <v>520.59</v>
      </c>
      <c r="F73" s="3">
        <v>0</v>
      </c>
      <c r="G73" s="3">
        <v>0</v>
      </c>
      <c r="H73" s="3">
        <v>0</v>
      </c>
      <c r="I73" s="3">
        <v>0</v>
      </c>
      <c r="J73" s="3">
        <v>52.059</v>
      </c>
      <c r="K73" s="3">
        <v>52.059</v>
      </c>
      <c r="L73" s="3">
        <v>0</v>
      </c>
      <c r="M73" s="3" t="s">
        <v>347</v>
      </c>
      <c r="N73" s="3">
        <v>411888.4053</v>
      </c>
      <c r="O73" s="3">
        <v>4165571.922</v>
      </c>
    </row>
    <row r="74" ht="15.6" spans="1:15">
      <c r="A74" s="3">
        <v>71</v>
      </c>
      <c r="B74" s="3">
        <v>0</v>
      </c>
      <c r="C74" s="3">
        <v>4</v>
      </c>
      <c r="D74" s="3">
        <v>17.51</v>
      </c>
      <c r="E74" s="3">
        <v>112.81</v>
      </c>
      <c r="F74" s="3">
        <v>0</v>
      </c>
      <c r="G74" s="3">
        <v>0</v>
      </c>
      <c r="H74" s="3">
        <v>1</v>
      </c>
      <c r="I74" s="3">
        <v>4</v>
      </c>
      <c r="J74" s="3">
        <v>13.75</v>
      </c>
      <c r="K74" s="3">
        <v>33.02</v>
      </c>
      <c r="L74" s="3">
        <v>0</v>
      </c>
      <c r="M74" s="3" t="s">
        <v>348</v>
      </c>
      <c r="N74" s="3">
        <v>410432.6684</v>
      </c>
      <c r="O74" s="3">
        <v>4166531.651</v>
      </c>
    </row>
    <row r="75" ht="15.6" spans="1:15">
      <c r="A75" s="3">
        <v>72</v>
      </c>
      <c r="B75" s="3">
        <v>0</v>
      </c>
      <c r="C75" s="3">
        <v>7</v>
      </c>
      <c r="D75" s="3">
        <v>0.33</v>
      </c>
      <c r="E75" s="3">
        <v>45.73</v>
      </c>
      <c r="F75" s="3">
        <v>0</v>
      </c>
      <c r="G75" s="3">
        <v>0</v>
      </c>
      <c r="H75" s="3">
        <v>0</v>
      </c>
      <c r="I75" s="3">
        <v>0</v>
      </c>
      <c r="J75" s="3">
        <v>0.2377</v>
      </c>
      <c r="K75" s="3">
        <v>1.0689</v>
      </c>
      <c r="L75" s="3">
        <v>0</v>
      </c>
      <c r="M75" s="3" t="s">
        <v>349</v>
      </c>
      <c r="N75" s="3">
        <v>395241.5656</v>
      </c>
      <c r="O75" s="3">
        <v>4180717.009</v>
      </c>
    </row>
    <row r="76" ht="15.6" spans="1:15">
      <c r="A76" s="3">
        <v>73</v>
      </c>
      <c r="B76" s="3">
        <v>0</v>
      </c>
      <c r="C76" s="3">
        <v>2</v>
      </c>
      <c r="D76" s="3">
        <v>0.62</v>
      </c>
      <c r="E76" s="3">
        <v>211.8</v>
      </c>
      <c r="F76" s="3">
        <v>0</v>
      </c>
      <c r="G76" s="3">
        <v>0</v>
      </c>
      <c r="H76" s="3">
        <v>0</v>
      </c>
      <c r="I76" s="3">
        <v>0</v>
      </c>
      <c r="J76" s="3">
        <v>0.82</v>
      </c>
      <c r="K76" s="3">
        <v>20.36</v>
      </c>
      <c r="L76" s="3">
        <v>0</v>
      </c>
      <c r="M76" s="3" t="s">
        <v>350</v>
      </c>
      <c r="N76" s="3">
        <v>394224.2516</v>
      </c>
      <c r="O76" s="3">
        <v>4179551.359</v>
      </c>
    </row>
    <row r="77" ht="15.6" spans="1:15">
      <c r="A77" s="3">
        <v>74</v>
      </c>
      <c r="B77" s="3">
        <v>0</v>
      </c>
      <c r="C77" s="3">
        <v>6.5</v>
      </c>
      <c r="D77" s="3">
        <v>0.45</v>
      </c>
      <c r="E77" s="3">
        <v>279.09</v>
      </c>
      <c r="F77" s="3">
        <v>0</v>
      </c>
      <c r="G77" s="3">
        <v>0</v>
      </c>
      <c r="H77" s="3">
        <v>0</v>
      </c>
      <c r="I77" s="3">
        <v>0</v>
      </c>
      <c r="J77" s="3">
        <v>2.9225</v>
      </c>
      <c r="K77" s="3">
        <v>5.6649</v>
      </c>
      <c r="L77" s="3">
        <v>0</v>
      </c>
      <c r="M77" s="3" t="s">
        <v>351</v>
      </c>
      <c r="N77" s="3">
        <v>394752.4645</v>
      </c>
      <c r="O77" s="3">
        <v>4180011.409</v>
      </c>
    </row>
    <row r="78" ht="15.6" spans="1:15">
      <c r="A78" s="3">
        <v>75</v>
      </c>
      <c r="B78" s="3">
        <v>77</v>
      </c>
      <c r="C78" s="3">
        <v>16.3</v>
      </c>
      <c r="D78" s="3">
        <v>1.23</v>
      </c>
      <c r="E78" s="3">
        <v>667.24</v>
      </c>
      <c r="F78" s="3">
        <v>0</v>
      </c>
      <c r="G78" s="3">
        <v>0</v>
      </c>
      <c r="H78" s="3">
        <v>0</v>
      </c>
      <c r="I78" s="3">
        <v>0</v>
      </c>
      <c r="J78" s="3">
        <v>2.4211</v>
      </c>
      <c r="K78" s="3">
        <v>5.7659</v>
      </c>
      <c r="L78" s="3">
        <v>0</v>
      </c>
      <c r="M78" s="3" t="s">
        <v>352</v>
      </c>
      <c r="N78" s="3">
        <v>396350.913</v>
      </c>
      <c r="O78" s="3">
        <v>4178001.071</v>
      </c>
    </row>
    <row r="79" ht="15.6" spans="1:15">
      <c r="A79" s="3">
        <v>76</v>
      </c>
      <c r="B79" s="3">
        <v>0</v>
      </c>
      <c r="C79" s="3">
        <v>10</v>
      </c>
      <c r="D79" s="3">
        <v>0.25</v>
      </c>
      <c r="E79" s="3">
        <v>256.71</v>
      </c>
      <c r="F79" s="3">
        <v>0</v>
      </c>
      <c r="G79" s="3">
        <v>0</v>
      </c>
      <c r="H79" s="3">
        <v>0</v>
      </c>
      <c r="I79" s="3">
        <v>0</v>
      </c>
      <c r="J79" s="3">
        <v>1.8866</v>
      </c>
      <c r="K79" s="3">
        <v>3.2476</v>
      </c>
      <c r="L79" s="3">
        <v>0</v>
      </c>
      <c r="M79" s="3" t="s">
        <v>353</v>
      </c>
      <c r="N79" s="3">
        <v>394561.9461</v>
      </c>
      <c r="O79" s="3">
        <v>4177877.949</v>
      </c>
    </row>
    <row r="80" ht="15.6" spans="1:15">
      <c r="A80" s="3">
        <v>77</v>
      </c>
      <c r="B80" s="3">
        <v>0</v>
      </c>
      <c r="C80" s="3">
        <v>15</v>
      </c>
      <c r="D80" s="3">
        <v>0.18</v>
      </c>
      <c r="E80" s="3">
        <v>118.91</v>
      </c>
      <c r="F80" s="3">
        <v>0</v>
      </c>
      <c r="G80" s="3">
        <v>0</v>
      </c>
      <c r="H80" s="3">
        <v>12</v>
      </c>
      <c r="I80" s="3">
        <v>4</v>
      </c>
      <c r="J80" s="3">
        <v>0.538</v>
      </c>
      <c r="K80" s="3">
        <v>1.0475</v>
      </c>
      <c r="L80" s="3">
        <v>0</v>
      </c>
      <c r="M80" s="3" t="s">
        <v>354</v>
      </c>
      <c r="N80" s="3">
        <v>395599.4498</v>
      </c>
      <c r="O80" s="3">
        <v>4178214.615</v>
      </c>
    </row>
    <row r="81" ht="15.6" spans="1:15">
      <c r="A81" s="3">
        <v>78</v>
      </c>
      <c r="B81" s="3">
        <v>0</v>
      </c>
      <c r="C81" s="3">
        <v>4.5</v>
      </c>
      <c r="D81" s="3">
        <v>0.14</v>
      </c>
      <c r="E81" s="3">
        <v>7.56</v>
      </c>
      <c r="F81" s="3">
        <v>0</v>
      </c>
      <c r="G81" s="3">
        <v>0</v>
      </c>
      <c r="H81" s="3">
        <v>1.5</v>
      </c>
      <c r="I81" s="3">
        <v>4</v>
      </c>
      <c r="J81" s="3">
        <v>0.1004</v>
      </c>
      <c r="K81" s="3">
        <v>0.2356</v>
      </c>
      <c r="L81" s="3">
        <v>0</v>
      </c>
      <c r="M81" s="3" t="s">
        <v>355</v>
      </c>
      <c r="N81" s="3">
        <v>395850.2726</v>
      </c>
      <c r="O81" s="3">
        <v>4175901.71</v>
      </c>
    </row>
    <row r="82" ht="15.6" spans="1:15">
      <c r="A82" s="3">
        <v>79</v>
      </c>
      <c r="B82" s="3">
        <v>0</v>
      </c>
      <c r="C82" s="3">
        <v>21</v>
      </c>
      <c r="D82" s="3">
        <v>0.17</v>
      </c>
      <c r="E82" s="3">
        <v>802.63</v>
      </c>
      <c r="F82" s="3">
        <v>0</v>
      </c>
      <c r="G82" s="3">
        <v>0</v>
      </c>
      <c r="H82" s="3">
        <v>0</v>
      </c>
      <c r="I82" s="3">
        <v>0</v>
      </c>
      <c r="J82" s="3">
        <v>2.3507</v>
      </c>
      <c r="K82" s="3">
        <v>5.2934</v>
      </c>
      <c r="L82" s="3">
        <v>0</v>
      </c>
      <c r="M82" s="3" t="s">
        <v>356</v>
      </c>
      <c r="N82" s="3">
        <v>395692.6084</v>
      </c>
      <c r="O82" s="3">
        <v>4177045.467</v>
      </c>
    </row>
    <row r="83" ht="15.6" spans="1:15">
      <c r="A83" s="3">
        <v>80</v>
      </c>
      <c r="B83" s="3">
        <v>0</v>
      </c>
      <c r="C83" s="3">
        <v>14</v>
      </c>
      <c r="D83" s="3">
        <v>0.70989</v>
      </c>
      <c r="E83" s="3">
        <v>1382.1</v>
      </c>
      <c r="F83" s="3">
        <v>0</v>
      </c>
      <c r="G83" s="3">
        <v>0</v>
      </c>
      <c r="H83" s="3">
        <v>11</v>
      </c>
      <c r="I83" s="3">
        <v>4</v>
      </c>
      <c r="J83" s="3">
        <v>7.368</v>
      </c>
      <c r="K83" s="3">
        <v>12.377</v>
      </c>
      <c r="L83" s="3">
        <v>0</v>
      </c>
      <c r="M83" s="3" t="s">
        <v>357</v>
      </c>
      <c r="N83" s="3">
        <v>395295.6541</v>
      </c>
      <c r="O83" s="3">
        <v>4176978.057</v>
      </c>
    </row>
    <row r="84" ht="15.6" spans="1:15">
      <c r="A84" s="3">
        <v>81</v>
      </c>
      <c r="B84" s="3">
        <v>28</v>
      </c>
      <c r="C84" s="3">
        <v>3</v>
      </c>
      <c r="D84" s="3">
        <v>1.09008</v>
      </c>
      <c r="E84" s="3">
        <v>94.75</v>
      </c>
      <c r="F84" s="3">
        <v>0</v>
      </c>
      <c r="G84" s="3">
        <v>0</v>
      </c>
      <c r="H84" s="3">
        <v>0</v>
      </c>
      <c r="I84" s="3">
        <v>4</v>
      </c>
      <c r="J84" s="3">
        <v>23.553</v>
      </c>
      <c r="K84" s="3">
        <v>39.613</v>
      </c>
      <c r="L84" s="3">
        <v>0</v>
      </c>
      <c r="M84" s="3" t="s">
        <v>358</v>
      </c>
      <c r="N84" s="3">
        <v>398503.4346</v>
      </c>
      <c r="O84" s="3">
        <v>4175150.429</v>
      </c>
    </row>
    <row r="85" ht="15.6" spans="1:15">
      <c r="A85" s="3">
        <v>82</v>
      </c>
      <c r="B85" s="3">
        <v>28</v>
      </c>
      <c r="C85" s="3">
        <v>2.5</v>
      </c>
      <c r="D85" s="3">
        <v>0.43665</v>
      </c>
      <c r="E85" s="3">
        <v>41.21</v>
      </c>
      <c r="F85" s="3">
        <v>0</v>
      </c>
      <c r="G85" s="3">
        <v>0</v>
      </c>
      <c r="H85" s="3">
        <v>0</v>
      </c>
      <c r="I85" s="3">
        <v>4</v>
      </c>
      <c r="J85" s="3">
        <v>16.016</v>
      </c>
      <c r="K85" s="3">
        <v>16.952</v>
      </c>
      <c r="L85" s="3">
        <v>0</v>
      </c>
      <c r="M85" s="3" t="s">
        <v>359</v>
      </c>
      <c r="N85" s="3">
        <v>399160.0195</v>
      </c>
      <c r="O85" s="3">
        <v>4175056.86</v>
      </c>
    </row>
    <row r="86" ht="15.6" spans="1:15">
      <c r="A86" s="3">
        <v>83</v>
      </c>
      <c r="B86" s="3">
        <v>0</v>
      </c>
      <c r="C86" s="3">
        <v>5.5</v>
      </c>
      <c r="D86" s="3">
        <v>0.77081</v>
      </c>
      <c r="E86" s="3">
        <v>153.26</v>
      </c>
      <c r="F86" s="3">
        <v>0</v>
      </c>
      <c r="G86" s="3">
        <v>0</v>
      </c>
      <c r="H86" s="3">
        <v>2.5</v>
      </c>
      <c r="I86" s="3">
        <v>4</v>
      </c>
      <c r="J86" s="3">
        <v>1.8564</v>
      </c>
      <c r="K86" s="3">
        <v>3.7167</v>
      </c>
      <c r="L86" s="3">
        <v>0</v>
      </c>
      <c r="M86" s="3" t="s">
        <v>360</v>
      </c>
      <c r="N86" s="3">
        <v>394765.403</v>
      </c>
      <c r="O86" s="3">
        <v>4176480.503</v>
      </c>
    </row>
    <row r="87" ht="15.6" spans="1:15">
      <c r="A87" s="3">
        <v>84</v>
      </c>
      <c r="B87" s="3">
        <v>0</v>
      </c>
      <c r="C87" s="3">
        <v>4.5</v>
      </c>
      <c r="D87" s="3">
        <v>1.38442</v>
      </c>
      <c r="E87" s="3">
        <v>1752</v>
      </c>
      <c r="F87" s="3">
        <v>0</v>
      </c>
      <c r="G87" s="3">
        <v>0</v>
      </c>
      <c r="H87" s="3">
        <v>1.5</v>
      </c>
      <c r="I87" s="3">
        <v>4</v>
      </c>
      <c r="J87" s="3">
        <v>59.7</v>
      </c>
      <c r="K87" s="3">
        <v>18.165</v>
      </c>
      <c r="L87" s="3">
        <v>0</v>
      </c>
      <c r="M87" s="3" t="s">
        <v>361</v>
      </c>
      <c r="N87" s="3">
        <v>395286.1453</v>
      </c>
      <c r="O87" s="3">
        <v>4176730.959</v>
      </c>
    </row>
    <row r="88" ht="15.6" spans="1:15">
      <c r="A88" s="3">
        <v>85</v>
      </c>
      <c r="B88" s="3">
        <v>45</v>
      </c>
      <c r="C88" s="3">
        <v>6</v>
      </c>
      <c r="D88" s="3">
        <v>1.14799</v>
      </c>
      <c r="E88" s="3">
        <v>227.05</v>
      </c>
      <c r="F88" s="3">
        <v>0</v>
      </c>
      <c r="G88" s="3">
        <v>0</v>
      </c>
      <c r="H88" s="3">
        <v>0</v>
      </c>
      <c r="I88" s="3">
        <v>0</v>
      </c>
      <c r="J88" s="3">
        <v>22.56</v>
      </c>
      <c r="K88" s="3">
        <v>53.123</v>
      </c>
      <c r="L88" s="3">
        <v>0</v>
      </c>
      <c r="M88" s="3" t="s">
        <v>362</v>
      </c>
      <c r="N88" s="3">
        <v>401879.9301</v>
      </c>
      <c r="O88" s="3">
        <v>4180449.721</v>
      </c>
    </row>
    <row r="89" ht="15.6" spans="1:15">
      <c r="A89" s="3">
        <v>86</v>
      </c>
      <c r="B89" s="3">
        <v>41</v>
      </c>
      <c r="C89" s="3">
        <v>11</v>
      </c>
      <c r="D89" s="3">
        <v>0.327</v>
      </c>
      <c r="E89" s="3">
        <v>189.48</v>
      </c>
      <c r="F89" s="3">
        <v>0</v>
      </c>
      <c r="G89" s="3">
        <v>0</v>
      </c>
      <c r="H89" s="3">
        <v>0</v>
      </c>
      <c r="I89" s="3">
        <v>0</v>
      </c>
      <c r="J89" s="3">
        <v>17.225</v>
      </c>
      <c r="K89" s="3">
        <v>17.225</v>
      </c>
      <c r="L89" s="3">
        <v>0</v>
      </c>
      <c r="M89" s="3" t="s">
        <v>363</v>
      </c>
      <c r="N89" s="3">
        <v>410862.2082</v>
      </c>
      <c r="O89" s="3">
        <v>4173812.983</v>
      </c>
    </row>
    <row r="90" ht="15.6" spans="1:15">
      <c r="A90" s="3">
        <v>87</v>
      </c>
      <c r="B90" s="3">
        <v>88</v>
      </c>
      <c r="C90" s="3">
        <v>5.5</v>
      </c>
      <c r="D90" s="3">
        <v>0.347</v>
      </c>
      <c r="E90" s="3">
        <v>81.24</v>
      </c>
      <c r="F90" s="3">
        <v>0</v>
      </c>
      <c r="G90" s="3">
        <v>0</v>
      </c>
      <c r="H90" s="3">
        <v>0</v>
      </c>
      <c r="I90" s="3">
        <v>0</v>
      </c>
      <c r="J90" s="3">
        <v>14.771</v>
      </c>
      <c r="K90" s="3">
        <v>14.771</v>
      </c>
      <c r="L90" s="3">
        <v>0</v>
      </c>
      <c r="M90" s="3" t="s">
        <v>364</v>
      </c>
      <c r="N90" s="3">
        <v>410743.6711</v>
      </c>
      <c r="O90" s="3">
        <v>4174557.648</v>
      </c>
    </row>
    <row r="91" ht="15.6" spans="1:15">
      <c r="A91" s="3">
        <v>88</v>
      </c>
      <c r="B91" s="3">
        <v>41</v>
      </c>
      <c r="C91" s="3">
        <v>13.6</v>
      </c>
      <c r="D91" s="3">
        <v>0.591</v>
      </c>
      <c r="E91" s="3">
        <v>290.33</v>
      </c>
      <c r="F91" s="3">
        <v>0</v>
      </c>
      <c r="G91" s="3">
        <v>0</v>
      </c>
      <c r="H91" s="3">
        <v>0</v>
      </c>
      <c r="I91" s="3">
        <v>0</v>
      </c>
      <c r="J91" s="3">
        <v>21.348</v>
      </c>
      <c r="K91" s="3">
        <v>21.348</v>
      </c>
      <c r="L91" s="3">
        <v>0</v>
      </c>
      <c r="M91" s="3" t="s">
        <v>365</v>
      </c>
      <c r="N91" s="3">
        <v>411004.7058</v>
      </c>
      <c r="O91" s="3">
        <v>4173906.393</v>
      </c>
    </row>
    <row r="92" ht="15.6" spans="1:15">
      <c r="A92" s="3">
        <v>89</v>
      </c>
      <c r="B92" s="3">
        <v>13</v>
      </c>
      <c r="C92" s="3">
        <v>6.5</v>
      </c>
      <c r="D92" s="3">
        <v>1.73512</v>
      </c>
      <c r="E92" s="3">
        <v>576.65</v>
      </c>
      <c r="F92" s="3">
        <v>0</v>
      </c>
      <c r="G92" s="3">
        <v>0</v>
      </c>
      <c r="H92" s="3">
        <v>0</v>
      </c>
      <c r="I92" s="3">
        <v>0</v>
      </c>
      <c r="J92" s="3">
        <v>56.172</v>
      </c>
      <c r="K92" s="3">
        <v>121.26</v>
      </c>
      <c r="L92" s="3">
        <v>0</v>
      </c>
      <c r="M92" s="3" t="s">
        <v>366</v>
      </c>
      <c r="N92" s="3">
        <v>409143.25</v>
      </c>
      <c r="O92" s="3">
        <v>4174844.795</v>
      </c>
    </row>
    <row r="93" ht="15.6" spans="1:15">
      <c r="A93" s="3">
        <v>90</v>
      </c>
      <c r="B93" s="3">
        <v>114</v>
      </c>
      <c r="C93" s="3">
        <v>9</v>
      </c>
      <c r="D93" s="3">
        <v>1.87707</v>
      </c>
      <c r="E93" s="3">
        <v>1011.5</v>
      </c>
      <c r="F93" s="3">
        <v>0</v>
      </c>
      <c r="G93" s="3">
        <v>0</v>
      </c>
      <c r="H93" s="3">
        <v>0</v>
      </c>
      <c r="I93" s="3">
        <v>0</v>
      </c>
      <c r="J93" s="3">
        <v>73.356</v>
      </c>
      <c r="K93" s="3">
        <v>151.42</v>
      </c>
      <c r="L93" s="3">
        <v>0</v>
      </c>
      <c r="M93" s="3" t="s">
        <v>367</v>
      </c>
      <c r="N93" s="3">
        <v>407268.3086</v>
      </c>
      <c r="O93" s="3">
        <v>4177132</v>
      </c>
    </row>
    <row r="94" ht="15.6" spans="1:15">
      <c r="A94" s="3">
        <v>91</v>
      </c>
      <c r="B94" s="3">
        <v>0</v>
      </c>
      <c r="C94" s="3">
        <v>9.5</v>
      </c>
      <c r="D94" s="3">
        <v>0.70096</v>
      </c>
      <c r="E94" s="3">
        <v>620.49</v>
      </c>
      <c r="F94" s="3">
        <v>0</v>
      </c>
      <c r="G94" s="3">
        <v>0</v>
      </c>
      <c r="H94" s="3">
        <v>0</v>
      </c>
      <c r="I94" s="3">
        <v>0</v>
      </c>
      <c r="J94" s="3">
        <v>5.7023</v>
      </c>
      <c r="K94" s="3">
        <v>7.3606</v>
      </c>
      <c r="L94" s="3">
        <v>0</v>
      </c>
      <c r="M94" s="3" t="s">
        <v>368</v>
      </c>
      <c r="N94" s="3">
        <v>399751.9148</v>
      </c>
      <c r="O94" s="3">
        <v>4182374.467</v>
      </c>
    </row>
    <row r="95" ht="15.6" spans="1:15">
      <c r="A95" s="3">
        <v>92</v>
      </c>
      <c r="B95" s="3">
        <v>0</v>
      </c>
      <c r="C95" s="3">
        <v>8.5</v>
      </c>
      <c r="D95" s="3">
        <v>0.49</v>
      </c>
      <c r="E95" s="3">
        <v>219.42</v>
      </c>
      <c r="F95" s="3">
        <v>0</v>
      </c>
      <c r="G95" s="3">
        <v>0</v>
      </c>
      <c r="H95" s="3">
        <v>0</v>
      </c>
      <c r="I95" s="3">
        <v>0</v>
      </c>
      <c r="J95" s="3">
        <v>1.5525</v>
      </c>
      <c r="K95" s="3">
        <v>3.6104</v>
      </c>
      <c r="L95" s="3">
        <v>0</v>
      </c>
      <c r="M95" s="3" t="s">
        <v>369</v>
      </c>
      <c r="N95" s="3">
        <v>400051.3332</v>
      </c>
      <c r="O95" s="3">
        <v>4182243.782</v>
      </c>
    </row>
    <row r="96" ht="15.6" spans="1:15">
      <c r="A96" s="3">
        <v>93</v>
      </c>
      <c r="B96" s="3">
        <v>0</v>
      </c>
      <c r="C96" s="3">
        <v>2.5</v>
      </c>
      <c r="D96" s="3">
        <v>2.31</v>
      </c>
      <c r="E96" s="3">
        <v>130.04</v>
      </c>
      <c r="F96" s="3">
        <v>0</v>
      </c>
      <c r="G96" s="3">
        <v>0</v>
      </c>
      <c r="H96" s="3">
        <v>0.5</v>
      </c>
      <c r="I96" s="3">
        <v>4</v>
      </c>
      <c r="J96" s="3">
        <v>4.7216</v>
      </c>
      <c r="K96" s="3">
        <v>5.6816</v>
      </c>
      <c r="L96" s="3">
        <v>0</v>
      </c>
      <c r="M96" s="3" t="s">
        <v>328</v>
      </c>
      <c r="N96" s="3">
        <v>399780.5196</v>
      </c>
      <c r="O96" s="3">
        <v>4181639.953</v>
      </c>
    </row>
    <row r="97" ht="15.6" spans="1:15">
      <c r="A97" s="3">
        <v>94</v>
      </c>
      <c r="B97" s="3">
        <v>0</v>
      </c>
      <c r="C97" s="3">
        <v>7.5</v>
      </c>
      <c r="D97" s="3">
        <v>0.54</v>
      </c>
      <c r="E97" s="3">
        <v>377.8</v>
      </c>
      <c r="F97" s="3">
        <v>0</v>
      </c>
      <c r="G97" s="3">
        <v>0</v>
      </c>
      <c r="H97" s="3">
        <v>0</v>
      </c>
      <c r="I97" s="3">
        <v>0</v>
      </c>
      <c r="J97" s="3">
        <v>4.76</v>
      </c>
      <c r="K97" s="3">
        <v>5.3147</v>
      </c>
      <c r="L97" s="3">
        <v>0</v>
      </c>
      <c r="M97" s="3" t="s">
        <v>370</v>
      </c>
      <c r="N97" s="3">
        <v>399286.518</v>
      </c>
      <c r="O97" s="3">
        <v>4182128.482</v>
      </c>
    </row>
    <row r="98" ht="15.6" spans="1:15">
      <c r="A98" s="3">
        <v>95</v>
      </c>
      <c r="B98" s="3">
        <v>96</v>
      </c>
      <c r="C98" s="3">
        <v>2.5</v>
      </c>
      <c r="D98" s="3">
        <v>1.013</v>
      </c>
      <c r="E98" s="3">
        <v>61.47</v>
      </c>
      <c r="F98" s="3">
        <v>0</v>
      </c>
      <c r="G98" s="3">
        <v>0</v>
      </c>
      <c r="H98" s="3">
        <v>0</v>
      </c>
      <c r="I98" s="3">
        <v>4</v>
      </c>
      <c r="J98" s="3">
        <v>10.288</v>
      </c>
      <c r="K98" s="3">
        <v>38.888</v>
      </c>
      <c r="L98" s="3">
        <v>0</v>
      </c>
      <c r="M98" s="3" t="s">
        <v>371</v>
      </c>
      <c r="N98" s="3">
        <v>404951.1505</v>
      </c>
      <c r="O98" s="3">
        <v>4180560.527</v>
      </c>
    </row>
    <row r="99" ht="15.6" spans="1:15">
      <c r="A99" s="3">
        <v>96</v>
      </c>
      <c r="B99" s="3">
        <v>97</v>
      </c>
      <c r="C99" s="3">
        <v>4.5</v>
      </c>
      <c r="D99" s="3">
        <v>1.72642</v>
      </c>
      <c r="E99" s="3">
        <v>143.22</v>
      </c>
      <c r="F99" s="3">
        <v>0</v>
      </c>
      <c r="G99" s="3">
        <v>0</v>
      </c>
      <c r="H99" s="3">
        <v>1.5</v>
      </c>
      <c r="I99" s="3">
        <v>4</v>
      </c>
      <c r="J99" s="3">
        <v>21.716</v>
      </c>
      <c r="K99" s="3">
        <v>41.938</v>
      </c>
      <c r="L99" s="3">
        <v>0</v>
      </c>
      <c r="M99" s="3" t="s">
        <v>372</v>
      </c>
      <c r="N99" s="3">
        <v>404572.913</v>
      </c>
      <c r="O99" s="3">
        <v>4180195.171</v>
      </c>
    </row>
    <row r="100" ht="15.6" spans="1:15">
      <c r="A100" s="3">
        <v>97</v>
      </c>
      <c r="B100" s="3">
        <v>44</v>
      </c>
      <c r="C100" s="3">
        <v>4</v>
      </c>
      <c r="D100" s="3">
        <v>5.35779</v>
      </c>
      <c r="E100" s="3">
        <v>300.68</v>
      </c>
      <c r="F100" s="3">
        <v>0</v>
      </c>
      <c r="G100" s="3">
        <v>0</v>
      </c>
      <c r="H100" s="3">
        <v>1</v>
      </c>
      <c r="I100" s="3">
        <v>4</v>
      </c>
      <c r="J100" s="3">
        <v>69.285</v>
      </c>
      <c r="K100" s="3">
        <v>81.055</v>
      </c>
      <c r="L100" s="3">
        <v>0</v>
      </c>
      <c r="M100" s="3" t="s">
        <v>373</v>
      </c>
      <c r="N100" s="3">
        <v>403982.1703</v>
      </c>
      <c r="O100" s="3">
        <v>4179759.897</v>
      </c>
    </row>
    <row r="101" ht="15.6" spans="1:15">
      <c r="A101" s="3">
        <v>98</v>
      </c>
      <c r="B101" s="3">
        <v>101</v>
      </c>
      <c r="C101" s="3">
        <v>13.7</v>
      </c>
      <c r="D101" s="3">
        <v>0.16253</v>
      </c>
      <c r="E101" s="3">
        <v>213.43</v>
      </c>
      <c r="F101" s="3">
        <v>0</v>
      </c>
      <c r="G101" s="3">
        <v>0</v>
      </c>
      <c r="H101" s="3">
        <v>0</v>
      </c>
      <c r="I101" s="3">
        <v>0</v>
      </c>
      <c r="J101" s="3">
        <v>10.391</v>
      </c>
      <c r="K101" s="3">
        <v>20.766</v>
      </c>
      <c r="L101" s="3">
        <v>0</v>
      </c>
      <c r="M101" s="3" t="s">
        <v>354</v>
      </c>
      <c r="N101" s="3">
        <v>403484.8619</v>
      </c>
      <c r="O101" s="3">
        <v>4182232.792</v>
      </c>
    </row>
    <row r="102" ht="15.6" spans="1:15">
      <c r="A102" s="3">
        <v>99</v>
      </c>
      <c r="B102" s="3">
        <v>100</v>
      </c>
      <c r="C102" s="3">
        <v>13.5</v>
      </c>
      <c r="D102" s="3">
        <v>0.62666</v>
      </c>
      <c r="E102" s="3">
        <v>280.26</v>
      </c>
      <c r="F102" s="3">
        <v>0</v>
      </c>
      <c r="G102" s="3">
        <v>0</v>
      </c>
      <c r="H102" s="3">
        <v>0</v>
      </c>
      <c r="I102" s="3">
        <v>0</v>
      </c>
      <c r="J102" s="3">
        <v>13.819</v>
      </c>
      <c r="K102" s="3">
        <v>27.701</v>
      </c>
      <c r="L102" s="3">
        <v>0</v>
      </c>
      <c r="M102" s="3" t="s">
        <v>374</v>
      </c>
      <c r="N102" s="3">
        <v>404525.9492</v>
      </c>
      <c r="O102" s="3">
        <v>4181248.985</v>
      </c>
    </row>
    <row r="103" ht="15.6" spans="1:15">
      <c r="A103" s="3">
        <v>100</v>
      </c>
      <c r="B103" s="3">
        <v>97</v>
      </c>
      <c r="C103" s="3">
        <v>5</v>
      </c>
      <c r="D103" s="3">
        <v>2.7704</v>
      </c>
      <c r="E103" s="3">
        <v>512.09</v>
      </c>
      <c r="F103" s="3">
        <v>0</v>
      </c>
      <c r="G103" s="3">
        <v>0</v>
      </c>
      <c r="H103" s="3">
        <v>2</v>
      </c>
      <c r="I103" s="3">
        <v>4</v>
      </c>
      <c r="J103" s="3">
        <v>73.628</v>
      </c>
      <c r="K103" s="3">
        <v>131.21</v>
      </c>
      <c r="L103" s="3">
        <v>0</v>
      </c>
      <c r="M103" s="3" t="s">
        <v>375</v>
      </c>
      <c r="N103" s="3">
        <v>404067.1942</v>
      </c>
      <c r="O103" s="3">
        <v>4180567.84</v>
      </c>
    </row>
    <row r="104" ht="15.6" spans="1:15">
      <c r="A104" s="3">
        <v>101</v>
      </c>
      <c r="B104" s="3">
        <v>100</v>
      </c>
      <c r="C104" s="3">
        <v>6</v>
      </c>
      <c r="D104" s="3">
        <v>0.88877</v>
      </c>
      <c r="E104" s="3">
        <v>30.52</v>
      </c>
      <c r="F104" s="3">
        <v>0</v>
      </c>
      <c r="G104" s="3">
        <v>0</v>
      </c>
      <c r="H104" s="3">
        <v>0</v>
      </c>
      <c r="I104" s="3">
        <v>0</v>
      </c>
      <c r="J104" s="3">
        <v>0.9527</v>
      </c>
      <c r="K104" s="3">
        <v>9.2207</v>
      </c>
      <c r="L104" s="3">
        <v>0</v>
      </c>
      <c r="M104" s="3" t="s">
        <v>376</v>
      </c>
      <c r="N104" s="3">
        <v>403835.557</v>
      </c>
      <c r="O104" s="3">
        <v>4181768.772</v>
      </c>
    </row>
    <row r="105" ht="15.6" spans="1:15">
      <c r="A105" s="3">
        <v>102</v>
      </c>
      <c r="B105" s="3">
        <v>0</v>
      </c>
      <c r="C105" s="3">
        <v>10</v>
      </c>
      <c r="D105" s="3">
        <v>0.46468</v>
      </c>
      <c r="E105" s="3">
        <v>87.5</v>
      </c>
      <c r="F105" s="3">
        <v>0</v>
      </c>
      <c r="G105" s="3">
        <v>0</v>
      </c>
      <c r="H105" s="3">
        <v>0</v>
      </c>
      <c r="I105" s="3">
        <v>0</v>
      </c>
      <c r="J105" s="3">
        <v>0.6334</v>
      </c>
      <c r="K105" s="3">
        <v>1.1166</v>
      </c>
      <c r="L105" s="3">
        <v>0</v>
      </c>
      <c r="M105" s="3" t="s">
        <v>377</v>
      </c>
      <c r="N105" s="3">
        <v>400735.4087</v>
      </c>
      <c r="O105" s="3">
        <v>4178919.358</v>
      </c>
    </row>
    <row r="106" ht="15.6" spans="1:15">
      <c r="A106" s="3">
        <v>103</v>
      </c>
      <c r="B106" s="3">
        <v>61</v>
      </c>
      <c r="C106" s="3">
        <v>3.5</v>
      </c>
      <c r="D106" s="3" t="s">
        <v>327</v>
      </c>
      <c r="E106" s="3">
        <v>70.56</v>
      </c>
      <c r="F106" s="3">
        <v>0</v>
      </c>
      <c r="G106" s="3">
        <v>0</v>
      </c>
      <c r="H106" s="3">
        <v>0.5</v>
      </c>
      <c r="I106" s="3">
        <v>4</v>
      </c>
      <c r="J106" s="3">
        <v>10.714</v>
      </c>
      <c r="K106" s="3">
        <v>29.606</v>
      </c>
      <c r="L106" s="3">
        <v>0</v>
      </c>
      <c r="M106" s="3" t="s">
        <v>378</v>
      </c>
      <c r="N106" s="3">
        <v>405343.6704</v>
      </c>
      <c r="O106" s="3">
        <v>4172301.22</v>
      </c>
    </row>
    <row r="107" ht="15.6" spans="1:15">
      <c r="A107" s="3">
        <v>104</v>
      </c>
      <c r="B107" s="3">
        <v>28</v>
      </c>
      <c r="C107" s="3">
        <v>2.5</v>
      </c>
      <c r="D107" s="3">
        <v>0.51292</v>
      </c>
      <c r="E107" s="3">
        <v>56.37</v>
      </c>
      <c r="F107" s="3">
        <v>0</v>
      </c>
      <c r="G107" s="3">
        <v>0</v>
      </c>
      <c r="H107" s="3">
        <v>0</v>
      </c>
      <c r="I107" s="3">
        <v>0</v>
      </c>
      <c r="J107" s="3">
        <v>29.264</v>
      </c>
      <c r="K107" s="3">
        <v>15.832</v>
      </c>
      <c r="L107" s="3">
        <v>0</v>
      </c>
      <c r="M107" s="3" t="s">
        <v>379</v>
      </c>
      <c r="N107" s="3">
        <v>399688.7668</v>
      </c>
      <c r="O107" s="3">
        <v>4174217.427</v>
      </c>
    </row>
    <row r="108" ht="15.6" spans="1:15">
      <c r="A108" s="3">
        <v>105</v>
      </c>
      <c r="B108" s="3">
        <v>25</v>
      </c>
      <c r="C108" s="3">
        <v>8</v>
      </c>
      <c r="D108" s="3">
        <v>2.25954</v>
      </c>
      <c r="E108" s="3">
        <v>372.71</v>
      </c>
      <c r="F108" s="3">
        <v>0</v>
      </c>
      <c r="G108" s="3">
        <v>0</v>
      </c>
      <c r="H108" s="3">
        <v>0</v>
      </c>
      <c r="I108" s="3">
        <v>0</v>
      </c>
      <c r="J108" s="3">
        <v>38.843</v>
      </c>
      <c r="K108" s="3">
        <v>54.335</v>
      </c>
      <c r="L108" s="3">
        <v>0</v>
      </c>
      <c r="M108" s="3" t="s">
        <v>380</v>
      </c>
      <c r="N108" s="3">
        <v>405447.4101</v>
      </c>
      <c r="O108" s="3">
        <v>4178093.891</v>
      </c>
    </row>
    <row r="109" ht="15.6" spans="1:15">
      <c r="A109" s="3">
        <v>106</v>
      </c>
      <c r="B109" s="3">
        <v>0</v>
      </c>
      <c r="C109" s="3">
        <v>9.5</v>
      </c>
      <c r="D109" s="3">
        <v>1.3</v>
      </c>
      <c r="E109" s="3">
        <v>299.49</v>
      </c>
      <c r="F109" s="3">
        <v>0</v>
      </c>
      <c r="G109" s="3">
        <v>0</v>
      </c>
      <c r="H109" s="3">
        <v>0</v>
      </c>
      <c r="I109" s="3">
        <v>0</v>
      </c>
      <c r="J109" s="3">
        <v>2.2284</v>
      </c>
      <c r="K109" s="3">
        <v>4.0766</v>
      </c>
      <c r="L109" s="3">
        <v>0</v>
      </c>
      <c r="M109" s="3" t="s">
        <v>381</v>
      </c>
      <c r="N109" s="3">
        <v>394734.0963</v>
      </c>
      <c r="O109" s="3">
        <v>4175781.76</v>
      </c>
    </row>
    <row r="110" ht="15.6" spans="1:15">
      <c r="A110" s="3">
        <v>107</v>
      </c>
      <c r="B110" s="3">
        <v>25</v>
      </c>
      <c r="C110" s="3">
        <v>14</v>
      </c>
      <c r="D110" s="3">
        <v>0.23</v>
      </c>
      <c r="E110" s="3">
        <v>159.27</v>
      </c>
      <c r="F110" s="3">
        <v>0</v>
      </c>
      <c r="G110" s="3">
        <v>0</v>
      </c>
      <c r="H110" s="3">
        <v>0</v>
      </c>
      <c r="I110" s="3">
        <v>0</v>
      </c>
      <c r="J110" s="3">
        <v>8.1</v>
      </c>
      <c r="K110" s="3">
        <v>14.653</v>
      </c>
      <c r="L110" s="3">
        <v>0</v>
      </c>
      <c r="M110" s="3" t="s">
        <v>382</v>
      </c>
      <c r="N110" s="3">
        <v>405713.8399</v>
      </c>
      <c r="O110" s="3">
        <v>4177517.698</v>
      </c>
    </row>
    <row r="111" ht="15.6" spans="1:15">
      <c r="A111" s="3">
        <v>108</v>
      </c>
      <c r="B111" s="3">
        <v>0</v>
      </c>
      <c r="C111" s="3">
        <v>9</v>
      </c>
      <c r="D111" s="3">
        <v>0.65755</v>
      </c>
      <c r="E111" s="3">
        <v>275.41</v>
      </c>
      <c r="F111" s="3">
        <v>0</v>
      </c>
      <c r="G111" s="3">
        <v>0</v>
      </c>
      <c r="H111" s="3">
        <v>0</v>
      </c>
      <c r="I111" s="3">
        <v>0</v>
      </c>
      <c r="J111" s="3">
        <v>1.9893</v>
      </c>
      <c r="K111" s="3">
        <v>4.1309</v>
      </c>
      <c r="L111" s="3">
        <v>0</v>
      </c>
      <c r="M111" s="3" t="s">
        <v>383</v>
      </c>
      <c r="N111" s="3">
        <v>394547.2499</v>
      </c>
      <c r="O111" s="3">
        <v>4177479.342</v>
      </c>
    </row>
    <row r="112" ht="15.6" spans="1:15">
      <c r="A112" s="3">
        <v>109</v>
      </c>
      <c r="B112" s="3">
        <v>0</v>
      </c>
      <c r="C112" s="3">
        <v>5</v>
      </c>
      <c r="D112" s="3" t="s">
        <v>327</v>
      </c>
      <c r="E112" s="3">
        <v>27.83</v>
      </c>
      <c r="F112" s="3">
        <v>0</v>
      </c>
      <c r="G112" s="3">
        <v>0</v>
      </c>
      <c r="H112" s="3">
        <v>0</v>
      </c>
      <c r="I112" s="3">
        <v>0</v>
      </c>
      <c r="J112" s="3">
        <v>0.744</v>
      </c>
      <c r="K112" s="3">
        <v>10.388</v>
      </c>
      <c r="L112" s="3">
        <v>0</v>
      </c>
      <c r="M112" s="3" t="s">
        <v>384</v>
      </c>
      <c r="N112" s="3">
        <v>404878.5585</v>
      </c>
      <c r="O112" s="3">
        <v>4171162.98</v>
      </c>
    </row>
    <row r="113" ht="15.6" spans="1:15">
      <c r="A113" s="3">
        <v>110</v>
      </c>
      <c r="B113" s="3">
        <v>5</v>
      </c>
      <c r="C113" s="3">
        <v>4</v>
      </c>
      <c r="D113" s="3">
        <v>0.28</v>
      </c>
      <c r="E113" s="3">
        <v>37.71</v>
      </c>
      <c r="F113" s="3">
        <v>0</v>
      </c>
      <c r="G113" s="3">
        <v>0</v>
      </c>
      <c r="H113" s="3">
        <v>0</v>
      </c>
      <c r="I113" s="3">
        <v>0</v>
      </c>
      <c r="J113" s="3">
        <v>0.771</v>
      </c>
      <c r="K113" s="3">
        <v>1.1145</v>
      </c>
      <c r="L113" s="3">
        <v>0</v>
      </c>
      <c r="M113" s="3" t="s">
        <v>385</v>
      </c>
      <c r="N113" s="3">
        <v>399749.9777</v>
      </c>
      <c r="O113" s="3">
        <v>4180729.223</v>
      </c>
    </row>
    <row r="114" ht="15.6" spans="1:15">
      <c r="A114" s="3">
        <v>111</v>
      </c>
      <c r="B114" s="3">
        <v>27</v>
      </c>
      <c r="C114" s="3">
        <v>3.5</v>
      </c>
      <c r="D114" s="3">
        <v>0.23313</v>
      </c>
      <c r="E114" s="3">
        <v>7.99</v>
      </c>
      <c r="F114" s="3">
        <v>0</v>
      </c>
      <c r="G114" s="3">
        <v>0</v>
      </c>
      <c r="H114" s="3">
        <v>0</v>
      </c>
      <c r="I114" s="3">
        <v>0</v>
      </c>
      <c r="J114" s="3">
        <v>2.0229</v>
      </c>
      <c r="K114" s="3">
        <v>2.5429</v>
      </c>
      <c r="L114" s="3">
        <v>0</v>
      </c>
      <c r="M114" s="3" t="s">
        <v>386</v>
      </c>
      <c r="N114" s="3">
        <v>402247.6818</v>
      </c>
      <c r="O114" s="3">
        <v>4176207.212</v>
      </c>
    </row>
    <row r="115" ht="15.6" spans="1:15">
      <c r="A115" s="3">
        <v>112</v>
      </c>
      <c r="B115" s="3">
        <v>23</v>
      </c>
      <c r="C115" s="3">
        <v>9</v>
      </c>
      <c r="D115" s="3" t="s">
        <v>327</v>
      </c>
      <c r="E115" s="3">
        <v>240.54</v>
      </c>
      <c r="F115" s="3">
        <v>0</v>
      </c>
      <c r="G115" s="3">
        <v>0</v>
      </c>
      <c r="H115" s="3">
        <v>0</v>
      </c>
      <c r="I115" s="3">
        <v>0</v>
      </c>
      <c r="J115" s="3">
        <v>19.093</v>
      </c>
      <c r="K115" s="3">
        <v>34.36</v>
      </c>
      <c r="L115" s="3">
        <v>0</v>
      </c>
      <c r="M115" s="3" t="s">
        <v>380</v>
      </c>
      <c r="N115" s="3">
        <v>402203.268</v>
      </c>
      <c r="O115" s="3">
        <v>4173820.517</v>
      </c>
    </row>
    <row r="116" ht="15.6" spans="1:15">
      <c r="A116" s="3">
        <v>113</v>
      </c>
      <c r="B116" s="3">
        <v>13</v>
      </c>
      <c r="C116" s="3">
        <v>8</v>
      </c>
      <c r="D116" s="3">
        <v>0.93505</v>
      </c>
      <c r="E116" s="3">
        <v>331.79</v>
      </c>
      <c r="F116" s="3">
        <v>0</v>
      </c>
      <c r="G116" s="3">
        <v>0</v>
      </c>
      <c r="H116" s="3">
        <v>0</v>
      </c>
      <c r="I116" s="3">
        <v>0</v>
      </c>
      <c r="J116" s="3">
        <v>28.94</v>
      </c>
      <c r="K116" s="3">
        <v>54.008</v>
      </c>
      <c r="L116" s="3">
        <v>0</v>
      </c>
      <c r="M116" s="3" t="s">
        <v>387</v>
      </c>
      <c r="N116" s="3">
        <v>407917.378</v>
      </c>
      <c r="O116" s="3">
        <v>4174423.244</v>
      </c>
    </row>
    <row r="117" ht="15.6" spans="1:15">
      <c r="A117" s="3">
        <v>114</v>
      </c>
      <c r="B117" s="3">
        <v>21</v>
      </c>
      <c r="C117" s="3">
        <v>9</v>
      </c>
      <c r="D117" s="3">
        <v>2.74558</v>
      </c>
      <c r="E117" s="3">
        <v>437.7</v>
      </c>
      <c r="F117" s="3">
        <v>0</v>
      </c>
      <c r="G117" s="3">
        <v>0</v>
      </c>
      <c r="H117" s="3">
        <v>0</v>
      </c>
      <c r="I117" s="3">
        <v>0</v>
      </c>
      <c r="J117" s="3">
        <v>36.956</v>
      </c>
      <c r="K117" s="3">
        <v>60.311</v>
      </c>
      <c r="L117" s="3">
        <v>0</v>
      </c>
      <c r="M117" s="3" t="s">
        <v>388</v>
      </c>
      <c r="N117" s="3">
        <v>406782.334</v>
      </c>
      <c r="O117" s="3">
        <v>4176538.721</v>
      </c>
    </row>
    <row r="118" ht="15.6" spans="1:15">
      <c r="A118" s="3">
        <v>115</v>
      </c>
      <c r="B118" s="3">
        <v>0</v>
      </c>
      <c r="C118" s="3">
        <v>6.5</v>
      </c>
      <c r="D118" s="3">
        <v>0.23135</v>
      </c>
      <c r="E118" s="3">
        <v>170.7</v>
      </c>
      <c r="F118" s="3">
        <v>0</v>
      </c>
      <c r="G118" s="3">
        <v>0</v>
      </c>
      <c r="H118" s="3">
        <v>0</v>
      </c>
      <c r="I118" s="3">
        <v>0</v>
      </c>
      <c r="J118" s="3">
        <v>1.9723</v>
      </c>
      <c r="K118" s="3">
        <v>3.28</v>
      </c>
      <c r="L118" s="3">
        <v>0</v>
      </c>
      <c r="M118" s="3" t="s">
        <v>389</v>
      </c>
      <c r="N118" s="3">
        <v>394203.7554</v>
      </c>
      <c r="O118" s="3">
        <v>4179361.149</v>
      </c>
    </row>
    <row r="119" ht="15.6" spans="1:15">
      <c r="A119" s="3">
        <v>116</v>
      </c>
      <c r="B119" s="3">
        <v>110</v>
      </c>
      <c r="C119" s="3">
        <v>2.5</v>
      </c>
      <c r="D119" s="3">
        <v>0.33</v>
      </c>
      <c r="E119" s="3">
        <v>8.83</v>
      </c>
      <c r="F119" s="3">
        <v>0</v>
      </c>
      <c r="G119" s="3">
        <v>0</v>
      </c>
      <c r="H119" s="3">
        <v>0</v>
      </c>
      <c r="I119" s="3">
        <v>0</v>
      </c>
      <c r="J119" s="3">
        <v>0.1318</v>
      </c>
      <c r="K119" s="3">
        <v>0.5746</v>
      </c>
      <c r="L119" s="3">
        <v>0</v>
      </c>
      <c r="M119" s="3" t="s">
        <v>390</v>
      </c>
      <c r="N119" s="3">
        <v>399907.3655</v>
      </c>
      <c r="O119" s="3">
        <v>4180458.334</v>
      </c>
    </row>
    <row r="120" ht="15.6" spans="1:15">
      <c r="A120" s="3">
        <v>117</v>
      </c>
      <c r="B120" s="3">
        <v>116</v>
      </c>
      <c r="C120" s="3">
        <v>4.8</v>
      </c>
      <c r="D120" s="3">
        <v>0.28</v>
      </c>
      <c r="E120" s="3">
        <v>49.76</v>
      </c>
      <c r="F120" s="3">
        <v>0</v>
      </c>
      <c r="G120" s="3">
        <v>0</v>
      </c>
      <c r="H120" s="3">
        <v>1.8</v>
      </c>
      <c r="I120" s="3">
        <v>4</v>
      </c>
      <c r="J120" s="3">
        <v>0.465</v>
      </c>
      <c r="K120" s="3">
        <v>1.6083</v>
      </c>
      <c r="L120" s="3">
        <v>0</v>
      </c>
      <c r="M120" s="3" t="s">
        <v>263</v>
      </c>
      <c r="N120" s="3">
        <v>399890.7675</v>
      </c>
      <c r="O120" s="3">
        <v>4180118.75</v>
      </c>
    </row>
    <row r="121" ht="15.6" spans="1:15">
      <c r="A121" s="3">
        <v>118</v>
      </c>
      <c r="B121" s="3">
        <v>22</v>
      </c>
      <c r="C121" s="3">
        <v>4.2</v>
      </c>
      <c r="D121" s="3">
        <v>0.90228</v>
      </c>
      <c r="E121" s="3">
        <v>25.1</v>
      </c>
      <c r="F121" s="3">
        <v>0</v>
      </c>
      <c r="G121" s="3">
        <v>0</v>
      </c>
      <c r="H121" s="3">
        <v>0</v>
      </c>
      <c r="I121" s="3">
        <v>0</v>
      </c>
      <c r="J121" s="3">
        <v>3.4286</v>
      </c>
      <c r="K121" s="3">
        <v>8.5238</v>
      </c>
      <c r="L121" s="3">
        <v>0</v>
      </c>
      <c r="M121" s="3" t="s">
        <v>391</v>
      </c>
      <c r="N121" s="3">
        <v>407055.4037</v>
      </c>
      <c r="O121" s="3">
        <v>4175886.381</v>
      </c>
    </row>
    <row r="122" ht="15.6" spans="1:15">
      <c r="A122" s="3">
        <v>119</v>
      </c>
      <c r="B122" s="3">
        <v>0</v>
      </c>
      <c r="C122" s="3">
        <v>13.5</v>
      </c>
      <c r="D122" s="3">
        <v>0.8136</v>
      </c>
      <c r="E122" s="3">
        <v>166.3</v>
      </c>
      <c r="F122" s="3">
        <v>0</v>
      </c>
      <c r="G122" s="3">
        <v>0</v>
      </c>
      <c r="H122" s="3">
        <v>0</v>
      </c>
      <c r="I122" s="3">
        <v>0</v>
      </c>
      <c r="J122" s="3">
        <v>5.8919</v>
      </c>
      <c r="K122" s="3">
        <v>18.745</v>
      </c>
      <c r="L122" s="3">
        <v>0</v>
      </c>
      <c r="M122" s="3" t="s">
        <v>392</v>
      </c>
      <c r="N122" s="3">
        <v>404120.2368</v>
      </c>
      <c r="O122" s="3">
        <v>4175354.383</v>
      </c>
    </row>
    <row r="123" ht="15.6" spans="1:15">
      <c r="A123" s="3">
        <v>120</v>
      </c>
      <c r="B123" s="3">
        <v>0</v>
      </c>
      <c r="C123" s="3">
        <v>2.5</v>
      </c>
      <c r="D123" s="3">
        <v>0.16</v>
      </c>
      <c r="E123" s="3">
        <v>10.1</v>
      </c>
      <c r="F123" s="3">
        <v>0</v>
      </c>
      <c r="G123" s="3">
        <v>0</v>
      </c>
      <c r="H123" s="3">
        <v>0</v>
      </c>
      <c r="I123" s="3">
        <v>0</v>
      </c>
      <c r="J123" s="3">
        <v>0.232</v>
      </c>
      <c r="K123" s="3">
        <v>0.576</v>
      </c>
      <c r="L123" s="3">
        <v>0</v>
      </c>
      <c r="M123" s="3" t="s">
        <v>393</v>
      </c>
      <c r="N123" s="3">
        <v>398770.6779</v>
      </c>
      <c r="O123" s="3">
        <v>4182002.888</v>
      </c>
    </row>
    <row r="124" ht="15.6" spans="1:15">
      <c r="A124" s="3">
        <v>121</v>
      </c>
      <c r="B124" s="3">
        <v>134</v>
      </c>
      <c r="C124" s="3">
        <v>5.8</v>
      </c>
      <c r="D124" s="3">
        <v>0.76907</v>
      </c>
      <c r="E124" s="3">
        <v>29.16</v>
      </c>
      <c r="F124" s="3">
        <v>0</v>
      </c>
      <c r="G124" s="3">
        <v>0</v>
      </c>
      <c r="H124" s="3">
        <v>0</v>
      </c>
      <c r="I124" s="3">
        <v>0</v>
      </c>
      <c r="J124" s="3">
        <v>0.1972</v>
      </c>
      <c r="K124" s="3">
        <v>0.8083</v>
      </c>
      <c r="L124" s="3">
        <v>0</v>
      </c>
      <c r="M124" s="3" t="s">
        <v>394</v>
      </c>
      <c r="N124" s="3">
        <v>399097.2953</v>
      </c>
      <c r="O124" s="3">
        <v>4179253.508</v>
      </c>
    </row>
    <row r="125" ht="15.6" spans="1:15">
      <c r="A125" s="3">
        <v>122</v>
      </c>
      <c r="B125" s="3">
        <v>66</v>
      </c>
      <c r="C125" s="3">
        <v>4.3</v>
      </c>
      <c r="D125" s="3">
        <v>12.991</v>
      </c>
      <c r="E125" s="3">
        <v>127.02</v>
      </c>
      <c r="F125" s="3">
        <v>0</v>
      </c>
      <c r="G125" s="3">
        <v>0</v>
      </c>
      <c r="H125" s="3">
        <v>1.3</v>
      </c>
      <c r="I125" s="3">
        <v>4</v>
      </c>
      <c r="J125" s="3">
        <v>4.483</v>
      </c>
      <c r="K125" s="3">
        <v>40.397</v>
      </c>
      <c r="L125" s="3">
        <v>0</v>
      </c>
      <c r="M125" s="3" t="s">
        <v>395</v>
      </c>
      <c r="N125" s="3">
        <v>409518.9143</v>
      </c>
      <c r="O125" s="3">
        <v>4168751.995</v>
      </c>
    </row>
    <row r="126" ht="15.6" spans="1:15">
      <c r="A126" s="3">
        <v>123</v>
      </c>
      <c r="B126" s="3">
        <v>0</v>
      </c>
      <c r="C126" s="3">
        <v>6</v>
      </c>
      <c r="D126" s="3">
        <v>1.959</v>
      </c>
      <c r="E126" s="3">
        <v>206.95</v>
      </c>
      <c r="F126" s="3">
        <v>0</v>
      </c>
      <c r="G126" s="3">
        <v>0</v>
      </c>
      <c r="H126" s="3">
        <v>0</v>
      </c>
      <c r="I126" s="3">
        <v>0</v>
      </c>
      <c r="J126" s="3">
        <v>34.492</v>
      </c>
      <c r="K126" s="3">
        <v>34.492</v>
      </c>
      <c r="L126" s="3">
        <v>0</v>
      </c>
      <c r="M126" s="3" t="s">
        <v>396</v>
      </c>
      <c r="N126" s="3">
        <v>409252.9879</v>
      </c>
      <c r="O126" s="3">
        <v>4172209.811</v>
      </c>
    </row>
    <row r="127" ht="15.6" spans="1:15">
      <c r="A127" s="3">
        <v>124</v>
      </c>
      <c r="B127" s="3">
        <v>123</v>
      </c>
      <c r="C127" s="3">
        <v>14.2</v>
      </c>
      <c r="D127" s="3">
        <v>0.757</v>
      </c>
      <c r="E127" s="3">
        <v>330.6</v>
      </c>
      <c r="F127" s="3">
        <v>0</v>
      </c>
      <c r="G127" s="3">
        <v>0</v>
      </c>
      <c r="H127" s="3">
        <v>0</v>
      </c>
      <c r="I127" s="3">
        <v>0</v>
      </c>
      <c r="J127" s="3">
        <v>23.282</v>
      </c>
      <c r="K127" s="3">
        <v>23.282</v>
      </c>
      <c r="L127" s="3">
        <v>0</v>
      </c>
      <c r="M127" s="3" t="s">
        <v>397</v>
      </c>
      <c r="N127" s="3">
        <v>409225.0668</v>
      </c>
      <c r="O127" s="3">
        <v>4173010.145</v>
      </c>
    </row>
    <row r="128" ht="15.6" spans="1:15">
      <c r="A128" s="3">
        <v>125</v>
      </c>
      <c r="B128" s="3">
        <v>123</v>
      </c>
      <c r="C128" s="3">
        <v>8.5</v>
      </c>
      <c r="D128" s="3">
        <v>0.33</v>
      </c>
      <c r="E128" s="3">
        <v>100.28</v>
      </c>
      <c r="F128" s="3">
        <v>0</v>
      </c>
      <c r="G128" s="3">
        <v>0</v>
      </c>
      <c r="H128" s="3">
        <v>0</v>
      </c>
      <c r="I128" s="3">
        <v>0</v>
      </c>
      <c r="J128" s="3">
        <v>11.798</v>
      </c>
      <c r="K128" s="3">
        <v>11.798</v>
      </c>
      <c r="L128" s="3">
        <v>0</v>
      </c>
      <c r="M128" s="3" t="s">
        <v>398</v>
      </c>
      <c r="N128" s="3">
        <v>409566.2877</v>
      </c>
      <c r="O128" s="3">
        <v>4172846.66</v>
      </c>
    </row>
    <row r="129" ht="15.6" spans="1:15">
      <c r="A129" s="3">
        <v>126</v>
      </c>
      <c r="B129" s="3">
        <v>65</v>
      </c>
      <c r="C129" s="3">
        <v>2.5</v>
      </c>
      <c r="D129" s="3">
        <v>0.71224</v>
      </c>
      <c r="E129" s="3">
        <v>13.95</v>
      </c>
      <c r="F129" s="3">
        <v>0</v>
      </c>
      <c r="G129" s="3">
        <v>0</v>
      </c>
      <c r="H129" s="3">
        <v>0</v>
      </c>
      <c r="I129" s="3">
        <v>4</v>
      </c>
      <c r="J129" s="3">
        <v>3.56</v>
      </c>
      <c r="K129" s="3">
        <v>7.6</v>
      </c>
      <c r="L129" s="3">
        <v>0</v>
      </c>
      <c r="M129" s="3" t="s">
        <v>399</v>
      </c>
      <c r="N129" s="3">
        <v>405779.9713</v>
      </c>
      <c r="O129" s="3">
        <v>4168724.539</v>
      </c>
    </row>
    <row r="130" ht="15.6" spans="1:15">
      <c r="A130" s="3">
        <v>127</v>
      </c>
      <c r="B130" s="3">
        <v>31</v>
      </c>
      <c r="C130" s="3">
        <v>6.3</v>
      </c>
      <c r="D130" s="3">
        <v>0.31659</v>
      </c>
      <c r="E130" s="3">
        <v>25.97</v>
      </c>
      <c r="F130" s="3">
        <v>0</v>
      </c>
      <c r="G130" s="3">
        <v>0</v>
      </c>
      <c r="H130" s="3">
        <v>0</v>
      </c>
      <c r="I130" s="3">
        <v>0</v>
      </c>
      <c r="J130" s="3">
        <v>3.3365</v>
      </c>
      <c r="K130" s="3">
        <v>4.9079</v>
      </c>
      <c r="L130" s="3">
        <v>0</v>
      </c>
      <c r="M130" s="3" t="s">
        <v>400</v>
      </c>
      <c r="N130" s="3">
        <v>403869.2545</v>
      </c>
      <c r="O130" s="3">
        <v>4168646.213</v>
      </c>
    </row>
    <row r="131" ht="15.6" spans="1:15">
      <c r="A131" s="3">
        <v>128</v>
      </c>
      <c r="B131" s="3">
        <v>34</v>
      </c>
      <c r="C131" s="3">
        <v>1.5</v>
      </c>
      <c r="D131" s="3">
        <v>0.31363</v>
      </c>
      <c r="E131" s="3">
        <v>10.06</v>
      </c>
      <c r="F131" s="3">
        <v>0</v>
      </c>
      <c r="G131" s="3">
        <v>0</v>
      </c>
      <c r="H131" s="3">
        <v>0</v>
      </c>
      <c r="I131" s="3">
        <v>0</v>
      </c>
      <c r="J131" s="3">
        <v>8.12</v>
      </c>
      <c r="K131" s="3">
        <v>5.2933</v>
      </c>
      <c r="L131" s="3">
        <v>0</v>
      </c>
      <c r="M131" s="3" t="s">
        <v>401</v>
      </c>
      <c r="N131" s="3">
        <v>403761.0516</v>
      </c>
      <c r="O131" s="3">
        <v>4169384.351</v>
      </c>
    </row>
    <row r="132" ht="15.6" spans="1:15">
      <c r="A132" s="3">
        <v>129</v>
      </c>
      <c r="B132" s="3">
        <v>65</v>
      </c>
      <c r="C132" s="3">
        <v>2</v>
      </c>
      <c r="D132" s="3">
        <v>0.13704</v>
      </c>
      <c r="E132" s="3">
        <v>6.67</v>
      </c>
      <c r="F132" s="3">
        <v>0</v>
      </c>
      <c r="G132" s="3">
        <v>0</v>
      </c>
      <c r="H132" s="3">
        <v>0</v>
      </c>
      <c r="I132" s="3">
        <v>0</v>
      </c>
      <c r="J132" s="3">
        <v>1.77</v>
      </c>
      <c r="K132" s="3">
        <v>4.9</v>
      </c>
      <c r="L132" s="3">
        <v>0</v>
      </c>
      <c r="M132" s="3" t="s">
        <v>402</v>
      </c>
      <c r="N132" s="3">
        <v>406137.2519</v>
      </c>
      <c r="O132" s="3">
        <v>4168981.536</v>
      </c>
    </row>
    <row r="133" ht="15.6" spans="1:15">
      <c r="A133" s="3">
        <v>130</v>
      </c>
      <c r="B133" s="3">
        <v>65</v>
      </c>
      <c r="C133" s="3">
        <v>7</v>
      </c>
      <c r="D133" s="3">
        <v>0.2846</v>
      </c>
      <c r="E133" s="3">
        <v>142.24</v>
      </c>
      <c r="F133" s="3">
        <v>0</v>
      </c>
      <c r="G133" s="3">
        <v>0</v>
      </c>
      <c r="H133" s="3">
        <v>0</v>
      </c>
      <c r="I133" s="3">
        <v>0</v>
      </c>
      <c r="J133" s="3">
        <v>11.1</v>
      </c>
      <c r="K133" s="3">
        <v>29.54</v>
      </c>
      <c r="L133" s="3">
        <v>0</v>
      </c>
      <c r="M133" s="3" t="s">
        <v>403</v>
      </c>
      <c r="N133" s="3">
        <v>406959.8107</v>
      </c>
      <c r="O133" s="3">
        <v>4169154.108</v>
      </c>
    </row>
    <row r="134" ht="15.6" spans="1:15">
      <c r="A134" s="3">
        <v>131</v>
      </c>
      <c r="B134" s="3">
        <v>0</v>
      </c>
      <c r="C134" s="3">
        <v>13</v>
      </c>
      <c r="D134" s="3">
        <v>1.38879</v>
      </c>
      <c r="E134" s="3">
        <v>273.65</v>
      </c>
      <c r="F134" s="3">
        <v>0</v>
      </c>
      <c r="G134" s="3">
        <v>0</v>
      </c>
      <c r="H134" s="3">
        <v>0</v>
      </c>
      <c r="I134" s="3">
        <v>0</v>
      </c>
      <c r="J134" s="3">
        <v>13.274</v>
      </c>
      <c r="K134" s="3">
        <v>28.826</v>
      </c>
      <c r="L134" s="3">
        <v>0</v>
      </c>
      <c r="M134" s="3" t="s">
        <v>404</v>
      </c>
      <c r="N134" s="3">
        <v>403781.5152</v>
      </c>
      <c r="O134" s="3">
        <v>4176807.906</v>
      </c>
    </row>
    <row r="135" ht="15.6" spans="1:15">
      <c r="A135" s="3">
        <v>132</v>
      </c>
      <c r="B135" s="3">
        <v>0</v>
      </c>
      <c r="C135" s="3">
        <v>2</v>
      </c>
      <c r="D135" s="3">
        <v>0.28232</v>
      </c>
      <c r="E135" s="3">
        <v>12.58</v>
      </c>
      <c r="F135" s="3">
        <v>0</v>
      </c>
      <c r="G135" s="3">
        <v>0</v>
      </c>
      <c r="H135" s="3">
        <v>0</v>
      </c>
      <c r="I135" s="3">
        <v>0</v>
      </c>
      <c r="J135" s="3">
        <v>0.662</v>
      </c>
      <c r="K135" s="3">
        <v>0.596</v>
      </c>
      <c r="L135" s="3">
        <v>0</v>
      </c>
      <c r="M135" s="3" t="s">
        <v>405</v>
      </c>
      <c r="N135" s="3">
        <v>396605.0286</v>
      </c>
      <c r="O135" s="3">
        <v>4181072.598</v>
      </c>
    </row>
    <row r="136" ht="15.6" spans="1:15">
      <c r="A136" s="3">
        <v>133</v>
      </c>
      <c r="B136" s="3">
        <v>90</v>
      </c>
      <c r="C136" s="3">
        <v>2.5</v>
      </c>
      <c r="D136" s="3">
        <v>0.22089</v>
      </c>
      <c r="E136" s="3">
        <v>7.6</v>
      </c>
      <c r="F136" s="3">
        <v>0</v>
      </c>
      <c r="G136" s="3">
        <v>0</v>
      </c>
      <c r="H136" s="3">
        <v>0</v>
      </c>
      <c r="I136" s="3">
        <v>0</v>
      </c>
      <c r="J136" s="3">
        <v>1.36</v>
      </c>
      <c r="K136" s="3">
        <v>4.72</v>
      </c>
      <c r="L136" s="3">
        <v>0</v>
      </c>
      <c r="M136" s="3" t="s">
        <v>406</v>
      </c>
      <c r="N136" s="3">
        <v>407172.534</v>
      </c>
      <c r="O136" s="3">
        <v>4177909.569</v>
      </c>
    </row>
    <row r="137" ht="15.6" spans="1:15">
      <c r="A137" s="3">
        <v>134</v>
      </c>
      <c r="B137" s="3">
        <v>0</v>
      </c>
      <c r="C137" s="3">
        <v>5.4</v>
      </c>
      <c r="D137" s="3">
        <v>0.33416</v>
      </c>
      <c r="E137" s="3">
        <v>40.24</v>
      </c>
      <c r="F137" s="3">
        <v>0</v>
      </c>
      <c r="G137" s="3">
        <v>0</v>
      </c>
      <c r="H137" s="3">
        <v>0</v>
      </c>
      <c r="I137" s="3">
        <v>0</v>
      </c>
      <c r="J137" s="3">
        <v>0.6548</v>
      </c>
      <c r="K137" s="3">
        <v>0.8356</v>
      </c>
      <c r="L137" s="3">
        <v>0</v>
      </c>
      <c r="M137" s="3" t="s">
        <v>394</v>
      </c>
      <c r="N137" s="3">
        <v>399047.8569</v>
      </c>
      <c r="O137" s="3">
        <v>4179608.929</v>
      </c>
    </row>
    <row r="138" ht="15.6" spans="1:15">
      <c r="A138" s="3">
        <v>135</v>
      </c>
      <c r="B138" s="3">
        <v>27</v>
      </c>
      <c r="C138" s="3">
        <v>5</v>
      </c>
      <c r="D138" s="3">
        <v>0.27469</v>
      </c>
      <c r="E138" s="3">
        <v>41.55</v>
      </c>
      <c r="F138" s="3">
        <v>0</v>
      </c>
      <c r="G138" s="3">
        <v>0</v>
      </c>
      <c r="H138" s="3">
        <v>0</v>
      </c>
      <c r="I138" s="3">
        <v>0</v>
      </c>
      <c r="J138" s="3">
        <v>8.636</v>
      </c>
      <c r="K138" s="3">
        <v>7.984</v>
      </c>
      <c r="L138" s="3">
        <v>0</v>
      </c>
      <c r="M138" s="3" t="s">
        <v>303</v>
      </c>
      <c r="N138" s="3">
        <v>402900.3574</v>
      </c>
      <c r="O138" s="3">
        <v>4176260.713</v>
      </c>
    </row>
    <row r="139" ht="15.6" spans="1:15">
      <c r="A139" s="3">
        <v>136</v>
      </c>
      <c r="B139" s="3">
        <v>23</v>
      </c>
      <c r="C139" s="3">
        <v>11</v>
      </c>
      <c r="D139" s="3" t="s">
        <v>327</v>
      </c>
      <c r="E139" s="3">
        <v>88.62</v>
      </c>
      <c r="F139" s="3">
        <v>0</v>
      </c>
      <c r="G139" s="3">
        <v>0</v>
      </c>
      <c r="H139" s="3">
        <v>0</v>
      </c>
      <c r="I139" s="3">
        <v>0</v>
      </c>
      <c r="J139" s="3">
        <v>5.1236</v>
      </c>
      <c r="K139" s="3">
        <v>10.989</v>
      </c>
      <c r="L139" s="3">
        <v>0</v>
      </c>
      <c r="M139" s="3" t="s">
        <v>407</v>
      </c>
      <c r="N139" s="3">
        <v>402180.86</v>
      </c>
      <c r="O139" s="3">
        <v>4174018.699</v>
      </c>
    </row>
    <row r="140" ht="15.6" spans="1:15">
      <c r="A140" s="3">
        <v>137</v>
      </c>
      <c r="B140" s="3">
        <v>13</v>
      </c>
      <c r="C140" s="3">
        <v>11</v>
      </c>
      <c r="D140" s="3">
        <v>0.36467</v>
      </c>
      <c r="E140" s="3">
        <v>53.26</v>
      </c>
      <c r="F140" s="3">
        <v>0</v>
      </c>
      <c r="G140" s="3">
        <v>0</v>
      </c>
      <c r="H140" s="3">
        <v>0</v>
      </c>
      <c r="I140" s="3">
        <v>0</v>
      </c>
      <c r="J140" s="3">
        <v>2.7091</v>
      </c>
      <c r="K140" s="3">
        <v>6.9745</v>
      </c>
      <c r="L140" s="3">
        <v>0</v>
      </c>
      <c r="M140" s="3" t="s">
        <v>408</v>
      </c>
      <c r="N140" s="3">
        <v>407521.6362</v>
      </c>
      <c r="O140" s="3">
        <v>4173858.382</v>
      </c>
    </row>
    <row r="141" ht="15.6" spans="1:15">
      <c r="A141" s="3">
        <v>138</v>
      </c>
      <c r="B141" s="3">
        <v>20</v>
      </c>
      <c r="C141" s="3">
        <v>4.5</v>
      </c>
      <c r="D141" s="3">
        <v>4.12308</v>
      </c>
      <c r="E141" s="3">
        <v>28.9</v>
      </c>
      <c r="F141" s="3">
        <v>0</v>
      </c>
      <c r="G141" s="3">
        <v>0</v>
      </c>
      <c r="H141" s="3">
        <v>0</v>
      </c>
      <c r="I141" s="3">
        <v>0</v>
      </c>
      <c r="J141" s="3">
        <v>4.1778</v>
      </c>
      <c r="K141" s="3">
        <v>8.6667</v>
      </c>
      <c r="L141" s="3">
        <v>0</v>
      </c>
      <c r="M141" s="3" t="s">
        <v>409</v>
      </c>
      <c r="N141" s="3">
        <v>406323.5676</v>
      </c>
      <c r="O141" s="3">
        <v>4175572.15</v>
      </c>
    </row>
    <row r="142" ht="15.6" spans="1:15">
      <c r="A142" s="3">
        <v>139</v>
      </c>
      <c r="B142" s="3">
        <v>22</v>
      </c>
      <c r="C142" s="3">
        <v>3</v>
      </c>
      <c r="D142" s="3">
        <v>0.21462</v>
      </c>
      <c r="E142" s="3">
        <v>5.3</v>
      </c>
      <c r="F142" s="3">
        <v>0</v>
      </c>
      <c r="G142" s="3">
        <v>0</v>
      </c>
      <c r="H142" s="3">
        <v>0</v>
      </c>
      <c r="I142" s="3">
        <v>0</v>
      </c>
      <c r="J142" s="3">
        <v>0.8667</v>
      </c>
      <c r="K142" s="3">
        <v>2.6667</v>
      </c>
      <c r="L142" s="3">
        <v>0</v>
      </c>
      <c r="M142" s="3" t="s">
        <v>410</v>
      </c>
      <c r="N142" s="3">
        <v>406833.9448</v>
      </c>
      <c r="O142" s="3">
        <v>4175618.387</v>
      </c>
    </row>
    <row r="143" ht="15.6" spans="1:15">
      <c r="A143" s="3">
        <v>140</v>
      </c>
      <c r="B143" s="3">
        <v>25</v>
      </c>
      <c r="C143" s="3">
        <v>5</v>
      </c>
      <c r="D143" s="3">
        <v>0.24</v>
      </c>
      <c r="E143" s="3">
        <v>44.1</v>
      </c>
      <c r="F143" s="3">
        <v>0</v>
      </c>
      <c r="G143" s="3">
        <v>0</v>
      </c>
      <c r="H143" s="3">
        <v>0</v>
      </c>
      <c r="I143" s="3">
        <v>0</v>
      </c>
      <c r="J143" s="3">
        <v>5.668</v>
      </c>
      <c r="K143" s="3">
        <v>11.972</v>
      </c>
      <c r="L143" s="3">
        <v>0</v>
      </c>
      <c r="M143" s="3" t="s">
        <v>411</v>
      </c>
      <c r="N143" s="3">
        <v>405219.5595</v>
      </c>
      <c r="O143" s="3">
        <v>4177034.075</v>
      </c>
    </row>
    <row r="144" ht="15.6" spans="1:15">
      <c r="A144" s="3">
        <v>141</v>
      </c>
      <c r="B144" s="3">
        <v>25</v>
      </c>
      <c r="C144" s="3">
        <v>5</v>
      </c>
      <c r="D144" s="3">
        <v>0.32</v>
      </c>
      <c r="E144" s="3">
        <v>54.83</v>
      </c>
      <c r="F144" s="3">
        <v>0</v>
      </c>
      <c r="G144" s="3">
        <v>0</v>
      </c>
      <c r="H144" s="3">
        <v>0</v>
      </c>
      <c r="I144" s="3">
        <v>0</v>
      </c>
      <c r="J144" s="3">
        <v>7.124</v>
      </c>
      <c r="K144" s="3">
        <v>14.808</v>
      </c>
      <c r="L144" s="3">
        <v>0</v>
      </c>
      <c r="M144" s="3" t="s">
        <v>412</v>
      </c>
      <c r="N144" s="3">
        <v>406255.3572</v>
      </c>
      <c r="O144" s="3">
        <v>4178304.725</v>
      </c>
    </row>
    <row r="145" ht="15.6" spans="1:15">
      <c r="A145" s="3">
        <v>142</v>
      </c>
      <c r="B145" s="3">
        <v>105</v>
      </c>
      <c r="C145" s="3">
        <v>3</v>
      </c>
      <c r="D145" s="3">
        <v>0.35401</v>
      </c>
      <c r="E145" s="3">
        <v>21.15</v>
      </c>
      <c r="F145" s="3">
        <v>0</v>
      </c>
      <c r="G145" s="3">
        <v>0</v>
      </c>
      <c r="H145" s="3">
        <v>0</v>
      </c>
      <c r="I145" s="3">
        <v>0</v>
      </c>
      <c r="J145" s="3">
        <v>7.1067</v>
      </c>
      <c r="K145" s="3">
        <v>6.9933</v>
      </c>
      <c r="L145" s="3">
        <v>0</v>
      </c>
      <c r="M145" s="3" t="s">
        <v>407</v>
      </c>
      <c r="N145" s="3">
        <v>405353.0502</v>
      </c>
      <c r="O145" s="3">
        <v>4178786.348</v>
      </c>
    </row>
    <row r="146" ht="15.6" spans="1:15">
      <c r="A146" s="3">
        <v>143</v>
      </c>
      <c r="B146" s="3">
        <v>105</v>
      </c>
      <c r="C146" s="3">
        <v>5</v>
      </c>
      <c r="D146" s="3">
        <v>1.04</v>
      </c>
      <c r="E146" s="3">
        <v>78.05</v>
      </c>
      <c r="F146" s="3">
        <v>0</v>
      </c>
      <c r="G146" s="3">
        <v>0</v>
      </c>
      <c r="H146" s="3">
        <v>0</v>
      </c>
      <c r="I146" s="3">
        <v>0</v>
      </c>
      <c r="J146" s="3">
        <v>6.968</v>
      </c>
      <c r="K146" s="3">
        <v>24.252</v>
      </c>
      <c r="L146" s="3">
        <v>0</v>
      </c>
      <c r="M146" s="3" t="s">
        <v>413</v>
      </c>
      <c r="N146" s="3">
        <v>405550.7397</v>
      </c>
      <c r="O146" s="3">
        <v>4178657.34</v>
      </c>
    </row>
    <row r="147" ht="15.6" spans="1:15">
      <c r="A147" s="3">
        <v>144</v>
      </c>
      <c r="B147" s="3">
        <v>95</v>
      </c>
      <c r="C147" s="3">
        <v>6</v>
      </c>
      <c r="D147" s="3">
        <v>0.22762</v>
      </c>
      <c r="E147" s="3">
        <v>65.29</v>
      </c>
      <c r="F147" s="3">
        <v>0</v>
      </c>
      <c r="G147" s="3">
        <v>0</v>
      </c>
      <c r="H147" s="3">
        <v>0</v>
      </c>
      <c r="I147" s="3">
        <v>0</v>
      </c>
      <c r="J147" s="3">
        <v>8.1</v>
      </c>
      <c r="K147" s="3">
        <v>13.663</v>
      </c>
      <c r="L147" s="3">
        <v>0</v>
      </c>
      <c r="M147" s="3" t="s">
        <v>414</v>
      </c>
      <c r="N147" s="3">
        <v>405411.7215</v>
      </c>
      <c r="O147" s="3">
        <v>4180847.313</v>
      </c>
    </row>
    <row r="148" ht="15.6" spans="1:15">
      <c r="A148" s="3">
        <v>145</v>
      </c>
      <c r="B148" s="3">
        <v>99</v>
      </c>
      <c r="C148" s="3">
        <v>3</v>
      </c>
      <c r="D148" s="3">
        <v>0.22315</v>
      </c>
      <c r="E148" s="3">
        <v>20.23</v>
      </c>
      <c r="F148" s="3">
        <v>0</v>
      </c>
      <c r="G148" s="3">
        <v>0</v>
      </c>
      <c r="H148" s="3">
        <v>0</v>
      </c>
      <c r="I148" s="3">
        <v>0</v>
      </c>
      <c r="J148" s="3">
        <v>3.06</v>
      </c>
      <c r="K148" s="3">
        <v>10.427</v>
      </c>
      <c r="L148" s="3">
        <v>0</v>
      </c>
      <c r="M148" s="3" t="s">
        <v>415</v>
      </c>
      <c r="N148" s="3">
        <v>404458.0426</v>
      </c>
      <c r="O148" s="3">
        <v>4181677.91</v>
      </c>
    </row>
    <row r="149" ht="15.6" spans="1:15">
      <c r="A149" s="3">
        <v>146</v>
      </c>
      <c r="B149" s="3">
        <v>44</v>
      </c>
      <c r="C149" s="3">
        <v>2</v>
      </c>
      <c r="D149" s="3">
        <v>0.03891</v>
      </c>
      <c r="E149" s="3">
        <v>4.15</v>
      </c>
      <c r="F149" s="3">
        <v>0</v>
      </c>
      <c r="G149" s="3">
        <v>0</v>
      </c>
      <c r="H149" s="3">
        <v>0</v>
      </c>
      <c r="I149" s="3">
        <v>4</v>
      </c>
      <c r="J149" s="3">
        <v>2.79</v>
      </c>
      <c r="K149" s="3">
        <v>1.36</v>
      </c>
      <c r="L149" s="3">
        <v>0</v>
      </c>
      <c r="M149" s="3" t="s">
        <v>416</v>
      </c>
      <c r="N149" s="3">
        <v>402652.2801</v>
      </c>
      <c r="O149" s="3">
        <v>4178378.752</v>
      </c>
    </row>
  </sheetData>
  <mergeCells count="13">
    <mergeCell ref="Q5:U5"/>
    <mergeCell ref="S6:U6"/>
    <mergeCell ref="S7:U7"/>
    <mergeCell ref="S8:U8"/>
    <mergeCell ref="S9:U9"/>
    <mergeCell ref="S10:U10"/>
    <mergeCell ref="S11:U11"/>
    <mergeCell ref="S13:U13"/>
    <mergeCell ref="S14:U14"/>
    <mergeCell ref="S15:U15"/>
    <mergeCell ref="S16:U16"/>
    <mergeCell ref="A1:L2"/>
    <mergeCell ref="M1:O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6508A6-C438-490F-B047-D9B26A2FC56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 information</vt:lpstr>
      <vt:lpstr>FT-IWHR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孙怀远</dc:creator>
  <cp:lastModifiedBy>崔文光</cp:lastModifiedBy>
  <dcterms:created xsi:type="dcterms:W3CDTF">2023-05-12T11:15:00Z</dcterms:created>
  <dcterms:modified xsi:type="dcterms:W3CDTF">2026-07-19T07:11:55Z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A0B8F5856C964034AF912B9B3567046B_13</vt:lpwstr>
  </property>
  <property fmtid="{D5CDD505-2E9C-101B-9397-08002B2CF9AE}" pid="4" name="CalculationRule">
    <vt:i4>0</vt:i4>
  </property>
</Properties>
</file>